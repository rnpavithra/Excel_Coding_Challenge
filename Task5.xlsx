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HRA\Desktop\"/>
    </mc:Choice>
  </mc:AlternateContent>
  <xr:revisionPtr revIDLastSave="0" documentId="13_ncr:1_{5B3600F2-BDC6-47F1-9A64-41C933650B96}" xr6:coauthVersionLast="47" xr6:coauthVersionMax="47" xr10:uidLastSave="{00000000-0000-0000-0000-000000000000}"/>
  <bookViews>
    <workbookView xWindow="-108" yWindow="-108" windowWidth="23256" windowHeight="13896" xr2:uid="{6E0EA9EB-3A4D-4093-A752-A04EFC4FD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Q2" i="1"/>
  <c r="R2" i="1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</calcChain>
</file>

<file path=xl/sharedStrings.xml><?xml version="1.0" encoding="utf-8"?>
<sst xmlns="http://schemas.openxmlformats.org/spreadsheetml/2006/main" count="334" uniqueCount="182">
  <si>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</si>
  <si>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</si>
  <si>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</si>
  <si>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</si>
  <si>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</si>
  <si>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</si>
  <si>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</si>
  <si>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</si>
  <si>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</si>
  <si>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</si>
  <si>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</si>
  <si>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</si>
  <si>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</si>
  <si>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</si>
  <si>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</si>
  <si>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</si>
  <si>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</si>
  <si>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</si>
  <si>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</si>
  <si>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</si>
  <si>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</si>
  <si>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</si>
  <si>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</si>
  <si>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</si>
  <si>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</si>
  <si>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</si>
  <si>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</si>
  <si>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</si>
  <si>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</si>
  <si>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</si>
  <si>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</si>
  <si>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</si>
  <si>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</si>
  <si>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</si>
  <si>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</si>
  <si>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</si>
  <si>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</si>
  <si>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</si>
  <si>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</si>
  <si>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</si>
  <si>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</si>
  <si>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</si>
  <si>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</si>
  <si>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</si>
  <si>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</si>
  <si>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</si>
  <si>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</si>
  <si>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</si>
  <si>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</si>
  <si>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</si>
  <si>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</si>
  <si>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</si>
  <si>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</si>
  <si>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</si>
  <si>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</si>
  <si>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</si>
  <si>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</si>
  <si>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</si>
  <si>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</si>
  <si>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</si>
  <si>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</si>
  <si>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</si>
  <si>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</si>
  <si>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</si>
  <si>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</si>
  <si>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</si>
  <si>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</si>
  <si>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</si>
  <si>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</si>
  <si>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</si>
  <si>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</si>
  <si>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</si>
  <si>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</si>
  <si>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</si>
  <si>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</si>
  <si>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</si>
  <si>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</si>
  <si>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</si>
  <si>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</si>
  <si>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</si>
  <si>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</si>
  <si>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</si>
  <si>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</si>
  <si>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</si>
  <si>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</si>
  <si>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Low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</si>
  <si>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</si>
  <si>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</si>
  <si>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</si>
  <si>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</si>
  <si>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</si>
  <si>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</si>
  <si>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</si>
  <si>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</si>
  <si>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</si>
  <si>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</si>
  <si>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</si>
  <si>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</si>
  <si>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</si>
  <si>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</si>
  <si>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</si>
  <si>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</si>
  <si>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</si>
  <si>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</si>
  <si>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</si>
  <si>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</si>
  <si>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</si>
  <si>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</si>
  <si>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</si>
  <si>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</si>
  <si>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</si>
  <si>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</si>
  <si>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</si>
  <si>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</si>
  <si>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</si>
  <si>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</si>
  <si>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</si>
  <si>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</si>
  <si>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</si>
  <si>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</si>
  <si>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</si>
  <si>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</si>
  <si>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</si>
  <si>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</si>
  <si>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</si>
  <si>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</si>
  <si>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</si>
  <si>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</si>
  <si>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</si>
  <si>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</si>
  <si>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</si>
  <si>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</si>
  <si>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</si>
  <si>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</si>
  <si>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</si>
  <si>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</si>
  <si>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</si>
  <si>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</si>
  <si>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</si>
  <si>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</si>
  <si>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</si>
  <si>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</si>
  <si>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</si>
  <si>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</si>
  <si>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</si>
  <si>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</si>
  <si>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</si>
  <si>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</si>
  <si>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</si>
  <si>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</si>
  <si>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</si>
  <si>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</si>
  <si>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</si>
  <si>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</si>
  <si>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</si>
  <si>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</si>
  <si>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</si>
  <si>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</si>
  <si>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</si>
  <si>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</si>
  <si>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</si>
  <si>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</si>
  <si>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</si>
  <si>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</si>
  <si>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</si>
  <si>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</si>
  <si>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</si>
  <si>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</si>
  <si>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</si>
  <si>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</si>
  <si>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</si>
  <si>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</si>
  <si>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</si>
  <si>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</si>
  <si>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</si>
  <si>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</si>
  <si>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Left function</t>
  </si>
  <si>
    <t xml:space="preserve">Right function </t>
  </si>
  <si>
    <t>Mid Function</t>
  </si>
  <si>
    <t>Upper function</t>
  </si>
  <si>
    <t>Lower function</t>
  </si>
  <si>
    <t>Proper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</si>
</sst>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0" xfId="0" applyAlignment="1">
      <alignment horizontal="right"/>
    </xf>
    <xf numFmtId="0" fontId="0" fillId="0" borderId="3" xfId="0" applyNumberForma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1" xfId="0" applyBorder="1" applyAlignment="1">
      <alignment horizontal="right"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vertical="center"/>
    </xf>
    <xf numFmtId="14" fontId="0" fillId="0" borderId="3" xfId="0" applyNumberFormat="1" applyBorder="1" applyAlignment="1">
      <alignment horizontal="right" wrapText="1"/>
    </xf>
  </cellXfs>
  <cellStyles count="1">
    <cellStyle name="Normal" xfId="0" builtinId="0"/>
  </cellStyles>
  <dxfs count="24">
    <dxf>
      <numFmt numFmtId="0" formatCode="General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1E722-D3E0-44AE-8BDA-EC3F9709974A}" name="Table1" displayName="Table1" ref="A1:S41" totalsRowShown="0" headerRowDxfId="23" dataDxfId="19" headerRowBorderDxfId="22" tableBorderDxfId="21" totalsRowBorderDxfId="20">
  <autoFilter ref="A1:S41" xr:uid="{8251E722-D3E0-44AE-8BDA-EC3F9709974A}"/>
  <tableColumns count="19">
    <tableColumn id="1" xr3:uid="{6125763D-C291-478B-9E0D-6EC07427DC22}" name="Order ID" dataDxfId="13"/>
    <tableColumn id="2" xr3:uid="{67030AFD-DBD6-443F-8217-6D6796B2E7E6}" name="Order Date" dataDxfId="12"/>
    <tableColumn id="3" xr3:uid="{F99EF12D-CB60-4E32-B029-9CE5D0E60B4B}" name="Ship Date" dataDxfId="11"/>
    <tableColumn id="4" xr3:uid="{8B029E01-8289-4980-B066-6552352AD0EB}" name="Customer Name" dataDxfId="10"/>
    <tableColumn id="5" xr3:uid="{C67D325D-9021-4C66-9AB1-9CF7A0FCF77E}" name="Country" dataDxfId="9"/>
    <tableColumn id="6" xr3:uid="{81FCE719-C4C9-4D58-A57E-C6ED9DA4813B}" name="Region" dataDxfId="8"/>
    <tableColumn id="7" xr3:uid="{7758804F-C723-4853-93C6-B1DAD43E360A}" name="Category" dataDxfId="7"/>
    <tableColumn id="8" xr3:uid="{D9933814-A18F-4A4B-83C8-510BEA4E23B4}" name="Sub-Category" dataDxfId="6"/>
    <tableColumn id="9" xr3:uid="{7469DC61-EAD5-4670-B1DE-F6C4301CF5BB}" name="Sales" dataDxfId="5"/>
    <tableColumn id="10" xr3:uid="{8DB5D699-A789-4884-A590-8DF6367C3EE2}" name="Quantity" dataDxfId="4"/>
    <tableColumn id="11" xr3:uid="{942C42F0-65E1-47F2-86A3-62BA46BC031F}" name="Discount" dataDxfId="3"/>
    <tableColumn id="12" xr3:uid="{EC7D102E-7F5F-4FF9-9C73-4B5C653A7834}" name="Profit" dataDxfId="2"/>
    <tableColumn id="13" xr3:uid="{C0E28251-33C5-40AB-B116-799B325DEF83}" name="Order Priority" dataDxfId="1"/>
    <tableColumn id="14" xr3:uid="{AC27D415-74C6-42FB-8462-4B37C6A1A099}" name="Left function" dataDxfId="0">
      <calculatedColumnFormula>LEFT(A2,2)</calculatedColumnFormula>
    </tableColumn>
    <tableColumn id="15" xr3:uid="{45B031FD-F618-469D-8FC0-7CF709B57A34}" name="Right function " dataDxfId="18">
      <calculatedColumnFormula>RIGHT(A2,5)</calculatedColumnFormula>
    </tableColumn>
    <tableColumn id="16" xr3:uid="{2B188403-F98E-453D-9ECC-729A2A91235E}" name="Mid Function" dataDxfId="17">
      <calculatedColumnFormula>MID(A2,4,4)</calculatedColumnFormula>
    </tableColumn>
    <tableColumn id="17" xr3:uid="{EA366AE6-958C-4D48-A6F5-4043F965C304}" name="Upper function" dataDxfId="16">
      <calculatedColumnFormula>UPPER(E2)</calculatedColumnFormula>
    </tableColumn>
    <tableColumn id="18" xr3:uid="{1978D5E3-CBEC-4898-A0E2-A720C8526750}" name="Lower function" dataDxfId="15">
      <calculatedColumnFormula>LOWER(Q2)</calculatedColumnFormula>
    </tableColumn>
    <tableColumn id="19" xr3:uid="{0D76906D-1434-4140-B7DF-67D9FA02F0B1}" name="Proper function" dataDxfId="14">
      <calculatedColumnFormula>PROPER(R2)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B3A3-4FFE-455A-AEA6-7BF1ADD5DFFB}">
  <dimension ref="A1:S41"/>
  <sheetViews>
    <sheetView tabSelected="1" workbookViewId="0">
      <selection activeCell="N4" sqref="N4"/>
    </sheetView>
  </sheetViews>
  <sheetFormatPr defaultRowHeight="14.4" x14ac:dyDescent="0.3"/>
  <cols>
    <col min="1" max="1" width="23.6640625" style="3" bestFit="1" customWidth="1"/>
    <col min="2" max="3" width="15.33203125" style="3" bestFit="1" customWidth="1"/>
    <col min="4" max="4" width="16.77734375" style="3" bestFit="1" customWidth="1"/>
    <col min="5" max="5" width="18.5546875" style="3" customWidth="1"/>
    <col min="6" max="6" width="15.6640625" style="3" customWidth="1"/>
    <col min="7" max="7" width="10.5546875" style="3" bestFit="1" customWidth="1"/>
    <col min="8" max="8" width="14.44140625" style="3" bestFit="1" customWidth="1"/>
    <col min="9" max="9" width="9.5546875" style="3" bestFit="1" customWidth="1"/>
    <col min="10" max="10" width="10.33203125" style="3" bestFit="1" customWidth="1"/>
    <col min="11" max="11" width="10.5546875" style="3" bestFit="1" customWidth="1"/>
    <col min="12" max="12" width="11.5546875" style="3" bestFit="1" customWidth="1"/>
    <col min="13" max="13" width="9.33203125" style="3" bestFit="1" customWidth="1"/>
    <col min="14" max="15" width="10" style="3" bestFit="1" customWidth="1"/>
    <col min="16" max="16" width="10.44140625" style="3" bestFit="1" customWidth="1"/>
    <col min="17" max="17" width="10.77734375" style="3" bestFit="1" customWidth="1"/>
    <col min="18" max="18" width="11.21875" style="3" bestFit="1" customWidth="1"/>
    <col min="19" max="19" width="16" style="3" bestFit="1" customWidth="1"/>
  </cols>
  <sheetData>
    <row r="1" spans="1:19" ht="28.8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</row>
    <row r="2" spans="1:19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5175.1710000000003</v>
      </c>
      <c r="J2" s="2">
        <v>9</v>
      </c>
      <c r="K2" s="2">
        <v>0.1</v>
      </c>
      <c r="L2" s="2">
        <v>919.971</v>
      </c>
      <c r="M2" s="2" t="s">
        <v>21</v>
      </c>
      <c r="N2" s="2" t="str">
        <f t="shared" ref="N2:N41" si="0">LEFT(A2,2)</f>
        <v>IN</v>
      </c>
      <c r="O2" s="2" t="str">
        <f t="shared" ref="O2:O41" si="1">RIGHT(A2,5)</f>
        <v>41929</v>
      </c>
      <c r="P2" s="2" t="str">
        <f t="shared" ref="P2:P41" si="2">MID(A2,4,4)</f>
        <v>2014</v>
      </c>
      <c r="Q2" s="2" t="str">
        <f t="shared" ref="Q2:Q41" si="3">UPPER(E2)</f>
        <v>AUSTRALIA</v>
      </c>
      <c r="R2" s="2" t="str">
        <f t="shared" ref="R2:R41" si="4">LOWER(Q2)</f>
        <v>australia</v>
      </c>
      <c r="S2" s="4" t="str">
        <f t="shared" ref="S2:S41" si="5">PROPER(R2)</f>
        <v>Australia</v>
      </c>
    </row>
    <row r="3" spans="1:19" ht="28.8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/>
      <c r="G3" s="2" t="s">
        <v>19</v>
      </c>
      <c r="H3" s="2" t="s">
        <v>27</v>
      </c>
      <c r="I3" s="2">
        <v>2892.51</v>
      </c>
      <c r="J3" s="2">
        <v>5</v>
      </c>
      <c r="K3" s="2">
        <v>0.1</v>
      </c>
      <c r="L3" s="2">
        <v>-96.54</v>
      </c>
      <c r="M3" s="2"/>
      <c r="N3" s="2" t="str">
        <f t="shared" si="0"/>
        <v>ES</v>
      </c>
      <c r="O3" s="2" t="str">
        <f t="shared" si="1"/>
        <v>41667</v>
      </c>
      <c r="P3" s="2" t="str">
        <f t="shared" si="2"/>
        <v>2014</v>
      </c>
      <c r="Q3" s="2" t="str">
        <f t="shared" si="3"/>
        <v>GERMANY</v>
      </c>
      <c r="R3" s="2" t="str">
        <f t="shared" si="4"/>
        <v>germany</v>
      </c>
      <c r="S3" s="4" t="str">
        <f t="shared" si="5"/>
        <v>Germany</v>
      </c>
    </row>
    <row r="4" spans="1:19" ht="28.8" x14ac:dyDescent="0.3">
      <c r="A4" s="2"/>
      <c r="B4" s="7">
        <v>41770</v>
      </c>
      <c r="C4" s="7">
        <v>41801</v>
      </c>
      <c r="D4" s="8" t="s">
        <v>28</v>
      </c>
      <c r="E4" s="2"/>
      <c r="F4" s="2" t="s">
        <v>29</v>
      </c>
      <c r="G4" s="2" t="s">
        <v>19</v>
      </c>
      <c r="H4" s="2" t="s">
        <v>30</v>
      </c>
      <c r="I4" s="2">
        <v>2832.96</v>
      </c>
      <c r="J4" s="2">
        <v>8</v>
      </c>
      <c r="K4" s="2">
        <v>0</v>
      </c>
      <c r="L4" s="2">
        <v>311.52</v>
      </c>
      <c r="M4" s="2" t="s">
        <v>31</v>
      </c>
      <c r="N4" s="2" t="str">
        <f t="shared" si="0"/>
        <v/>
      </c>
      <c r="O4" s="2" t="str">
        <f t="shared" si="1"/>
        <v/>
      </c>
      <c r="P4" s="2" t="str">
        <f t="shared" si="2"/>
        <v/>
      </c>
      <c r="Q4" s="2" t="str">
        <f t="shared" si="3"/>
        <v/>
      </c>
      <c r="R4" s="2" t="str">
        <f t="shared" si="4"/>
        <v/>
      </c>
      <c r="S4" s="4" t="str">
        <f t="shared" si="5"/>
        <v/>
      </c>
    </row>
    <row r="5" spans="1:19" x14ac:dyDescent="0.3">
      <c r="A5" s="2" t="s">
        <v>32</v>
      </c>
      <c r="B5" s="2" t="s">
        <v>33</v>
      </c>
      <c r="C5" s="7">
        <v>41646</v>
      </c>
      <c r="D5" s="2" t="s">
        <v>34</v>
      </c>
      <c r="E5" s="2" t="s">
        <v>17</v>
      </c>
      <c r="F5" s="2" t="s">
        <v>18</v>
      </c>
      <c r="G5" s="2" t="s">
        <v>19</v>
      </c>
      <c r="H5" s="2" t="s">
        <v>30</v>
      </c>
      <c r="I5" s="2">
        <v>2862.6750000000002</v>
      </c>
      <c r="J5" s="2">
        <v>5</v>
      </c>
      <c r="K5" s="2">
        <v>0.1</v>
      </c>
      <c r="L5" s="2">
        <v>763.27499999999998</v>
      </c>
      <c r="M5" s="2" t="s">
        <v>31</v>
      </c>
      <c r="N5" s="2" t="str">
        <f t="shared" si="0"/>
        <v>IN</v>
      </c>
      <c r="O5" s="2" t="str">
        <f t="shared" si="1"/>
        <v>41818</v>
      </c>
      <c r="P5" s="2" t="str">
        <f t="shared" si="2"/>
        <v>2014</v>
      </c>
      <c r="Q5" s="2" t="str">
        <f t="shared" si="3"/>
        <v>AUSTRALIA</v>
      </c>
      <c r="R5" s="2" t="str">
        <f t="shared" si="4"/>
        <v>australia</v>
      </c>
      <c r="S5" s="4" t="str">
        <f t="shared" si="5"/>
        <v>Australia</v>
      </c>
    </row>
    <row r="6" spans="1:19" ht="28.8" x14ac:dyDescent="0.3">
      <c r="A6" s="2"/>
      <c r="B6" s="7">
        <v>41071</v>
      </c>
      <c r="C6" s="7">
        <v>41132</v>
      </c>
      <c r="D6" s="2" t="s">
        <v>35</v>
      </c>
      <c r="E6" s="2" t="s">
        <v>36</v>
      </c>
      <c r="F6" s="2" t="s">
        <v>18</v>
      </c>
      <c r="G6" s="2" t="s">
        <v>37</v>
      </c>
      <c r="H6" s="2" t="s">
        <v>38</v>
      </c>
      <c r="I6" s="2">
        <v>1822.08</v>
      </c>
      <c r="J6" s="2">
        <v>4</v>
      </c>
      <c r="K6" s="2">
        <v>0</v>
      </c>
      <c r="L6" s="2">
        <v>564.84</v>
      </c>
      <c r="M6" s="2" t="s">
        <v>31</v>
      </c>
      <c r="N6" s="2" t="str">
        <f t="shared" si="0"/>
        <v/>
      </c>
      <c r="O6" s="2" t="str">
        <f t="shared" si="1"/>
        <v/>
      </c>
      <c r="P6" s="2" t="str">
        <f t="shared" si="2"/>
        <v/>
      </c>
      <c r="Q6" s="2" t="str">
        <f t="shared" si="3"/>
        <v>NEW ZEALAND</v>
      </c>
      <c r="R6" s="2" t="str">
        <f t="shared" si="4"/>
        <v>new zealand</v>
      </c>
      <c r="S6" s="4" t="str">
        <f t="shared" si="5"/>
        <v>New Zealand</v>
      </c>
    </row>
    <row r="7" spans="1:19" ht="28.8" x14ac:dyDescent="0.3">
      <c r="A7" s="8" t="s">
        <v>39</v>
      </c>
      <c r="B7" s="2"/>
      <c r="C7" s="2"/>
      <c r="D7" s="2" t="s">
        <v>40</v>
      </c>
      <c r="E7" s="2" t="s">
        <v>36</v>
      </c>
      <c r="F7" s="2" t="s">
        <v>18</v>
      </c>
      <c r="G7" s="2" t="s">
        <v>37</v>
      </c>
      <c r="H7" s="2" t="s">
        <v>30</v>
      </c>
      <c r="I7" s="2">
        <v>5244.84</v>
      </c>
      <c r="J7" s="2" t="s">
        <v>41</v>
      </c>
      <c r="K7" s="2">
        <v>0</v>
      </c>
      <c r="L7" s="2">
        <v>996.48</v>
      </c>
      <c r="M7" s="2" t="s">
        <v>42</v>
      </c>
      <c r="N7" s="2" t="str">
        <f t="shared" si="0"/>
        <v>IN</v>
      </c>
      <c r="O7" s="2" t="str">
        <f t="shared" si="1"/>
        <v>41378</v>
      </c>
      <c r="P7" s="2" t="str">
        <f t="shared" si="2"/>
        <v>2013</v>
      </c>
      <c r="Q7" s="2" t="str">
        <f t="shared" si="3"/>
        <v>NEW ZEALAND</v>
      </c>
      <c r="R7" s="2" t="str">
        <f t="shared" si="4"/>
        <v>new zealand</v>
      </c>
      <c r="S7" s="4" t="str">
        <f t="shared" si="5"/>
        <v>New Zealand</v>
      </c>
    </row>
    <row r="8" spans="1:19" ht="28.8" x14ac:dyDescent="0.3">
      <c r="A8" s="2" t="s">
        <v>43</v>
      </c>
      <c r="B8" s="7">
        <v>41954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37</v>
      </c>
      <c r="H8" s="2" t="s">
        <v>27</v>
      </c>
      <c r="I8" s="2">
        <v>341.96</v>
      </c>
      <c r="J8" s="2">
        <v>2</v>
      </c>
      <c r="K8" s="2">
        <v>0</v>
      </c>
      <c r="L8" s="2">
        <v>54.7136</v>
      </c>
      <c r="M8" s="2" t="s">
        <v>42</v>
      </c>
      <c r="N8" s="2" t="str">
        <f t="shared" si="0"/>
        <v>CA</v>
      </c>
      <c r="O8" s="2" t="str">
        <f t="shared" si="1"/>
        <v>41954</v>
      </c>
      <c r="P8" s="2" t="str">
        <f t="shared" si="2"/>
        <v>2014</v>
      </c>
      <c r="Q8" s="2" t="str">
        <f t="shared" si="3"/>
        <v>UNITED STATES</v>
      </c>
      <c r="R8" s="2" t="str">
        <f t="shared" si="4"/>
        <v>united states</v>
      </c>
      <c r="S8" s="4" t="str">
        <f t="shared" si="5"/>
        <v>United States</v>
      </c>
    </row>
    <row r="9" spans="1:19" ht="28.8" x14ac:dyDescent="0.3">
      <c r="A9" s="2" t="s">
        <v>48</v>
      </c>
      <c r="B9" s="7">
        <v>41063</v>
      </c>
      <c r="C9" s="7">
        <v>41093</v>
      </c>
      <c r="D9" s="2" t="s">
        <v>45</v>
      </c>
      <c r="E9" s="2" t="s">
        <v>46</v>
      </c>
      <c r="F9" s="2" t="s">
        <v>49</v>
      </c>
      <c r="G9" s="2" t="s">
        <v>37</v>
      </c>
      <c r="H9" s="2" t="s">
        <v>50</v>
      </c>
      <c r="I9" s="2">
        <v>48.712000000000003</v>
      </c>
      <c r="J9" s="2">
        <v>1</v>
      </c>
      <c r="K9" s="2"/>
      <c r="L9" s="2">
        <v>5.4801000000000002</v>
      </c>
      <c r="M9" s="2" t="s">
        <v>42</v>
      </c>
      <c r="N9" s="2" t="str">
        <f t="shared" si="0"/>
        <v>CA</v>
      </c>
      <c r="O9" s="2" t="str">
        <f t="shared" si="1"/>
        <v>40974</v>
      </c>
      <c r="P9" s="2" t="str">
        <f t="shared" si="2"/>
        <v>2012</v>
      </c>
      <c r="Q9" s="2" t="str">
        <f t="shared" si="3"/>
        <v>UNITED STATES</v>
      </c>
      <c r="R9" s="2" t="str">
        <f t="shared" si="4"/>
        <v>united states</v>
      </c>
      <c r="S9" s="4" t="str">
        <f t="shared" si="5"/>
        <v>United States</v>
      </c>
    </row>
    <row r="10" spans="1:19" ht="28.8" x14ac:dyDescent="0.3">
      <c r="A10" s="2" t="s">
        <v>48</v>
      </c>
      <c r="B10" s="7">
        <v>41063</v>
      </c>
      <c r="C10" s="7">
        <v>41093</v>
      </c>
      <c r="D10" s="8" t="s">
        <v>45</v>
      </c>
      <c r="E10" s="2"/>
      <c r="F10" s="2" t="s">
        <v>49</v>
      </c>
      <c r="G10" s="2" t="s">
        <v>51</v>
      </c>
      <c r="H10" s="2" t="s">
        <v>52</v>
      </c>
      <c r="I10" s="2" t="s">
        <v>53</v>
      </c>
      <c r="J10" s="2">
        <v>3</v>
      </c>
      <c r="K10" s="2">
        <v>0</v>
      </c>
      <c r="L10" s="2">
        <v>26.647123529999998</v>
      </c>
      <c r="M10" s="2" t="s">
        <v>42</v>
      </c>
      <c r="N10" s="2" t="str">
        <f t="shared" si="0"/>
        <v>CA</v>
      </c>
      <c r="O10" s="2" t="str">
        <f t="shared" si="1"/>
        <v>40974</v>
      </c>
      <c r="P10" s="2" t="str">
        <f t="shared" si="2"/>
        <v>2012</v>
      </c>
      <c r="Q10" s="2" t="str">
        <f t="shared" si="3"/>
        <v/>
      </c>
      <c r="R10" s="2" t="str">
        <f t="shared" si="4"/>
        <v/>
      </c>
      <c r="S10" s="4" t="str">
        <f t="shared" si="5"/>
        <v/>
      </c>
    </row>
    <row r="11" spans="1:19" ht="28.8" x14ac:dyDescent="0.3">
      <c r="A11" s="2" t="s">
        <v>54</v>
      </c>
      <c r="B11" s="2" t="s">
        <v>55</v>
      </c>
      <c r="C11" s="9">
        <v>41386</v>
      </c>
      <c r="D11" s="2" t="s">
        <v>56</v>
      </c>
      <c r="E11" s="2" t="s">
        <v>57</v>
      </c>
      <c r="F11" s="2" t="s">
        <v>58</v>
      </c>
      <c r="G11" s="2" t="s">
        <v>37</v>
      </c>
      <c r="H11" s="2" t="s">
        <v>50</v>
      </c>
      <c r="I11" s="2">
        <v>4626.1499999999996</v>
      </c>
      <c r="J11" s="2">
        <v>5</v>
      </c>
      <c r="K11" s="2">
        <v>0</v>
      </c>
      <c r="L11" s="2"/>
      <c r="M11" s="2" t="s">
        <v>42</v>
      </c>
      <c r="N11" s="2" t="str">
        <f t="shared" si="0"/>
        <v>ID</v>
      </c>
      <c r="O11" s="2" t="str">
        <f t="shared" si="1"/>
        <v>41383</v>
      </c>
      <c r="P11" s="2" t="str">
        <f t="shared" si="2"/>
        <v>2013</v>
      </c>
      <c r="Q11" s="2" t="str">
        <f t="shared" si="3"/>
        <v>AFGHANISTAN</v>
      </c>
      <c r="R11" s="2" t="str">
        <f t="shared" si="4"/>
        <v>afghanistan</v>
      </c>
      <c r="S11" s="4" t="str">
        <f t="shared" si="5"/>
        <v>Afghanistan</v>
      </c>
    </row>
    <row r="12" spans="1:19" ht="28.8" x14ac:dyDescent="0.3">
      <c r="A12" s="2" t="s">
        <v>59</v>
      </c>
      <c r="B12" s="2" t="s">
        <v>60</v>
      </c>
      <c r="C12" s="2"/>
      <c r="D12" s="2" t="s">
        <v>61</v>
      </c>
      <c r="E12" s="2" t="s">
        <v>62</v>
      </c>
      <c r="F12" s="2" t="s">
        <v>63</v>
      </c>
      <c r="G12" s="2" t="s">
        <v>19</v>
      </c>
      <c r="H12" s="2" t="s">
        <v>64</v>
      </c>
      <c r="I12" s="2">
        <v>2616.96</v>
      </c>
      <c r="J12" s="2">
        <v>4</v>
      </c>
      <c r="K12" s="2">
        <v>0</v>
      </c>
      <c r="L12" s="2">
        <v>1151.4000000000001</v>
      </c>
      <c r="M12" s="2" t="s">
        <v>31</v>
      </c>
      <c r="N12" s="2" t="str">
        <f t="shared" si="0"/>
        <v>SA</v>
      </c>
      <c r="O12" s="2" t="str">
        <f t="shared" si="1"/>
        <v>41269</v>
      </c>
      <c r="P12" s="2" t="str">
        <f t="shared" si="2"/>
        <v>2012</v>
      </c>
      <c r="Q12" s="2" t="str">
        <f t="shared" si="3"/>
        <v>SAUDI ARABIA</v>
      </c>
      <c r="R12" s="2" t="str">
        <f t="shared" si="4"/>
        <v>saudi arabia</v>
      </c>
      <c r="S12" s="4" t="str">
        <f t="shared" si="5"/>
        <v>Saudi Arabia</v>
      </c>
    </row>
    <row r="13" spans="1:19" ht="28.8" x14ac:dyDescent="0.3">
      <c r="A13" s="2" t="s">
        <v>65</v>
      </c>
      <c r="B13" s="2" t="s">
        <v>66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37</v>
      </c>
      <c r="H13" s="2" t="s">
        <v>50</v>
      </c>
      <c r="I13" s="2" t="s">
        <v>70</v>
      </c>
      <c r="J13" s="2" t="s">
        <v>71</v>
      </c>
      <c r="K13" s="2">
        <v>0</v>
      </c>
      <c r="L13" s="2">
        <v>622.02</v>
      </c>
      <c r="M13" s="2" t="s">
        <v>31</v>
      </c>
      <c r="N13" s="2" t="str">
        <f t="shared" si="0"/>
        <v>MX</v>
      </c>
      <c r="O13" s="2" t="str">
        <f t="shared" si="1"/>
        <v>41591</v>
      </c>
      <c r="P13" s="2" t="str">
        <f t="shared" si="2"/>
        <v>2013</v>
      </c>
      <c r="Q13" s="2" t="str">
        <f t="shared" si="3"/>
        <v>BRAZIL</v>
      </c>
      <c r="R13" s="2" t="str">
        <f t="shared" si="4"/>
        <v>brazil</v>
      </c>
      <c r="S13" s="4" t="str">
        <f t="shared" si="5"/>
        <v>Brazil</v>
      </c>
    </row>
    <row r="14" spans="1:19" ht="28.8" x14ac:dyDescent="0.3">
      <c r="A14" s="2" t="s">
        <v>72</v>
      </c>
      <c r="B14" s="7">
        <v>41796</v>
      </c>
      <c r="C14" s="7">
        <v>41857</v>
      </c>
      <c r="D14" s="2" t="s">
        <v>73</v>
      </c>
      <c r="E14" s="2" t="s">
        <v>74</v>
      </c>
      <c r="F14" s="2" t="s">
        <v>75</v>
      </c>
      <c r="G14" s="2" t="s">
        <v>51</v>
      </c>
      <c r="H14" s="2" t="s">
        <v>30</v>
      </c>
      <c r="I14" s="2">
        <v>3701.52</v>
      </c>
      <c r="J14" s="2">
        <v>12</v>
      </c>
      <c r="K14" s="2">
        <v>0</v>
      </c>
      <c r="L14" s="2">
        <v>1036.08</v>
      </c>
      <c r="M14" s="2" t="s">
        <v>31</v>
      </c>
      <c r="N14" s="2" t="str">
        <f t="shared" si="0"/>
        <v>IN</v>
      </c>
      <c r="O14" s="2" t="str">
        <f t="shared" si="1"/>
        <v>41796</v>
      </c>
      <c r="P14" s="2" t="str">
        <f t="shared" si="2"/>
        <v>2014</v>
      </c>
      <c r="Q14" s="2" t="str">
        <f t="shared" si="3"/>
        <v>CHINA</v>
      </c>
      <c r="R14" s="2" t="str">
        <f t="shared" si="4"/>
        <v>china</v>
      </c>
      <c r="S14" s="4" t="str">
        <f t="shared" si="5"/>
        <v>China</v>
      </c>
    </row>
    <row r="15" spans="1:19" ht="28.8" x14ac:dyDescent="0.3">
      <c r="A15" s="2" t="s">
        <v>76</v>
      </c>
      <c r="B15" s="2" t="s">
        <v>77</v>
      </c>
      <c r="C15" s="7">
        <v>42071</v>
      </c>
      <c r="D15" s="2" t="s">
        <v>78</v>
      </c>
      <c r="E15" s="2" t="s">
        <v>79</v>
      </c>
      <c r="F15" s="2" t="s">
        <v>80</v>
      </c>
      <c r="G15" s="2" t="s">
        <v>51</v>
      </c>
      <c r="H15" s="2" t="s">
        <v>27</v>
      </c>
      <c r="I15" s="2">
        <v>1869.588</v>
      </c>
      <c r="J15" s="2">
        <v>4</v>
      </c>
      <c r="K15" s="2">
        <v>0.1</v>
      </c>
      <c r="L15" s="2"/>
      <c r="M15" s="2" t="s">
        <v>31</v>
      </c>
      <c r="N15" s="2" t="str">
        <f t="shared" si="0"/>
        <v>ES</v>
      </c>
      <c r="O15" s="2" t="str">
        <f t="shared" si="1"/>
        <v>42216</v>
      </c>
      <c r="P15" s="2" t="str">
        <f t="shared" si="2"/>
        <v>2015</v>
      </c>
      <c r="Q15" s="2" t="str">
        <f t="shared" si="3"/>
        <v>FRANCE</v>
      </c>
      <c r="R15" s="2" t="str">
        <f t="shared" si="4"/>
        <v>france</v>
      </c>
      <c r="S15" s="4" t="str">
        <f t="shared" si="5"/>
        <v>France</v>
      </c>
    </row>
    <row r="16" spans="1:19" ht="28.8" x14ac:dyDescent="0.3">
      <c r="A16" s="2" t="s">
        <v>81</v>
      </c>
      <c r="B16" s="2" t="s">
        <v>82</v>
      </c>
      <c r="C16" s="2" t="s">
        <v>83</v>
      </c>
      <c r="D16" s="2" t="s">
        <v>45</v>
      </c>
      <c r="E16" s="2" t="s">
        <v>46</v>
      </c>
      <c r="F16" s="2" t="s">
        <v>47</v>
      </c>
      <c r="G16" s="2" t="s">
        <v>51</v>
      </c>
      <c r="H16" s="2" t="s">
        <v>84</v>
      </c>
      <c r="I16" s="2">
        <v>12.624000000000001</v>
      </c>
      <c r="J16" s="2">
        <v>2</v>
      </c>
      <c r="K16" s="2">
        <v>0.2</v>
      </c>
      <c r="L16" s="2">
        <v>-2.5247999999999999</v>
      </c>
      <c r="M16" s="2" t="s">
        <v>85</v>
      </c>
      <c r="N16" s="2" t="str">
        <f t="shared" si="0"/>
        <v>CA</v>
      </c>
      <c r="O16" s="2" t="str">
        <f t="shared" si="1"/>
        <v>40958</v>
      </c>
      <c r="P16" s="2" t="str">
        <f t="shared" si="2"/>
        <v>2012</v>
      </c>
      <c r="Q16" s="2" t="str">
        <f t="shared" si="3"/>
        <v>UNITED STATES</v>
      </c>
      <c r="R16" s="2" t="str">
        <f t="shared" si="4"/>
        <v>united states</v>
      </c>
      <c r="S16" s="4" t="str">
        <f t="shared" si="5"/>
        <v>United States</v>
      </c>
    </row>
    <row r="17" spans="1:19" ht="28.8" x14ac:dyDescent="0.3">
      <c r="A17" s="2" t="s">
        <v>86</v>
      </c>
      <c r="B17" s="7">
        <v>42225</v>
      </c>
      <c r="C17" s="2" t="s">
        <v>87</v>
      </c>
      <c r="D17" s="2"/>
      <c r="E17" s="2" t="s">
        <v>88</v>
      </c>
      <c r="F17" s="2" t="s">
        <v>89</v>
      </c>
      <c r="G17" s="2" t="s">
        <v>51</v>
      </c>
      <c r="H17" s="2" t="s">
        <v>84</v>
      </c>
      <c r="I17" s="2" t="s">
        <v>90</v>
      </c>
      <c r="J17" s="2">
        <v>14</v>
      </c>
      <c r="K17" s="2">
        <v>0</v>
      </c>
      <c r="L17" s="2">
        <v>3979.08</v>
      </c>
      <c r="M17" s="2" t="s">
        <v>85</v>
      </c>
      <c r="N17" s="2" t="str">
        <f t="shared" si="0"/>
        <v>ES</v>
      </c>
      <c r="O17" s="2" t="str">
        <f t="shared" si="1"/>
        <v>42255</v>
      </c>
      <c r="P17" s="2" t="str">
        <f t="shared" si="2"/>
        <v>2015</v>
      </c>
      <c r="Q17" s="2" t="str">
        <f t="shared" si="3"/>
        <v>ITALY</v>
      </c>
      <c r="R17" s="2" t="str">
        <f t="shared" si="4"/>
        <v>italy</v>
      </c>
      <c r="S17" s="4" t="str">
        <f t="shared" si="5"/>
        <v>Italy</v>
      </c>
    </row>
    <row r="18" spans="1:19" x14ac:dyDescent="0.3">
      <c r="A18" s="2" t="s">
        <v>91</v>
      </c>
      <c r="B18" s="2" t="s">
        <v>92</v>
      </c>
      <c r="C18" s="7">
        <v>42006</v>
      </c>
      <c r="D18" s="2" t="s">
        <v>93</v>
      </c>
      <c r="E18" s="2" t="s">
        <v>17</v>
      </c>
      <c r="F18" s="2" t="s">
        <v>18</v>
      </c>
      <c r="G18" s="2"/>
      <c r="H18" s="2" t="s">
        <v>20</v>
      </c>
      <c r="I18" s="2">
        <v>2565.5940000000001</v>
      </c>
      <c r="J18" s="2">
        <v>9</v>
      </c>
      <c r="K18" s="2"/>
      <c r="L18" s="2"/>
      <c r="M18" s="2" t="s">
        <v>31</v>
      </c>
      <c r="N18" s="2" t="str">
        <f t="shared" si="0"/>
        <v>IN</v>
      </c>
      <c r="O18" s="2" t="str">
        <f t="shared" si="1"/>
        <v>42035</v>
      </c>
      <c r="P18" s="2" t="str">
        <f t="shared" si="2"/>
        <v>2015</v>
      </c>
      <c r="Q18" s="2" t="str">
        <f t="shared" si="3"/>
        <v>AUSTRALIA</v>
      </c>
      <c r="R18" s="2" t="str">
        <f t="shared" si="4"/>
        <v>australia</v>
      </c>
      <c r="S18" s="4" t="str">
        <f t="shared" si="5"/>
        <v>Australia</v>
      </c>
    </row>
    <row r="19" spans="1:19" ht="28.8" x14ac:dyDescent="0.3">
      <c r="A19" s="2" t="s">
        <v>94</v>
      </c>
      <c r="B19" s="7">
        <v>42136</v>
      </c>
      <c r="C19" s="7">
        <v>42197</v>
      </c>
      <c r="D19" s="2" t="s">
        <v>95</v>
      </c>
      <c r="E19" s="2" t="s">
        <v>96</v>
      </c>
      <c r="F19" s="2" t="s">
        <v>97</v>
      </c>
      <c r="G19" s="2" t="s">
        <v>51</v>
      </c>
      <c r="H19" s="2" t="s">
        <v>84</v>
      </c>
      <c r="I19" s="2">
        <v>3409.74</v>
      </c>
      <c r="J19" s="2">
        <v>6</v>
      </c>
      <c r="K19" s="2">
        <v>0</v>
      </c>
      <c r="L19" s="2">
        <v>818.28</v>
      </c>
      <c r="M19" s="2" t="s">
        <v>42</v>
      </c>
      <c r="N19" s="2" t="str">
        <f t="shared" si="0"/>
        <v>TZ</v>
      </c>
      <c r="O19" s="2" t="str">
        <f t="shared" si="1"/>
        <v>42343</v>
      </c>
      <c r="P19" s="2" t="str">
        <f t="shared" si="2"/>
        <v>2015</v>
      </c>
      <c r="Q19" s="2" t="str">
        <f t="shared" si="3"/>
        <v>TANZANIA</v>
      </c>
      <c r="R19" s="2" t="str">
        <f t="shared" si="4"/>
        <v>tanzania</v>
      </c>
      <c r="S19" s="4" t="str">
        <f t="shared" si="5"/>
        <v>Tanzania</v>
      </c>
    </row>
    <row r="20" spans="1:19" ht="28.8" x14ac:dyDescent="0.3">
      <c r="A20" s="2" t="s">
        <v>98</v>
      </c>
      <c r="B20" s="7">
        <v>41494</v>
      </c>
      <c r="C20" s="7">
        <v>41555</v>
      </c>
      <c r="D20" s="8" t="s">
        <v>99</v>
      </c>
      <c r="E20" s="2"/>
      <c r="F20" s="2" t="s">
        <v>100</v>
      </c>
      <c r="G20" s="2" t="s">
        <v>37</v>
      </c>
      <c r="H20" s="2" t="s">
        <v>38</v>
      </c>
      <c r="I20" s="2">
        <v>1977.72</v>
      </c>
      <c r="J20" s="2">
        <v>4</v>
      </c>
      <c r="K20" s="2">
        <v>0</v>
      </c>
      <c r="L20" s="2">
        <v>276.83999999999997</v>
      </c>
      <c r="M20" s="2" t="s">
        <v>31</v>
      </c>
      <c r="N20" s="2" t="str">
        <f t="shared" si="0"/>
        <v>PL</v>
      </c>
      <c r="O20" s="2" t="str">
        <f t="shared" si="1"/>
        <v>41494</v>
      </c>
      <c r="P20" s="2" t="str">
        <f t="shared" si="2"/>
        <v>2013</v>
      </c>
      <c r="Q20" s="2" t="str">
        <f t="shared" si="3"/>
        <v/>
      </c>
      <c r="R20" s="2" t="str">
        <f t="shared" si="4"/>
        <v/>
      </c>
      <c r="S20" s="4" t="str">
        <f t="shared" si="5"/>
        <v/>
      </c>
    </row>
    <row r="21" spans="1:19" ht="28.8" x14ac:dyDescent="0.3">
      <c r="A21" s="2" t="s">
        <v>48</v>
      </c>
      <c r="B21" s="7">
        <v>41063</v>
      </c>
      <c r="C21" s="7">
        <v>41093</v>
      </c>
      <c r="D21" s="2" t="s">
        <v>45</v>
      </c>
      <c r="E21" s="2" t="s">
        <v>46</v>
      </c>
      <c r="F21" s="2" t="s">
        <v>49</v>
      </c>
      <c r="G21" s="2" t="s">
        <v>51</v>
      </c>
      <c r="H21" s="2" t="s">
        <v>84</v>
      </c>
      <c r="I21" s="2">
        <v>242.94</v>
      </c>
      <c r="J21" s="2">
        <v>3</v>
      </c>
      <c r="K21" s="2">
        <v>0</v>
      </c>
      <c r="L21" s="2">
        <v>4.8587999999999996</v>
      </c>
      <c r="M21" s="2" t="s">
        <v>42</v>
      </c>
      <c r="N21" s="2" t="str">
        <f t="shared" si="0"/>
        <v>CA</v>
      </c>
      <c r="O21" s="2" t="str">
        <f t="shared" si="1"/>
        <v>40974</v>
      </c>
      <c r="P21" s="2" t="str">
        <f t="shared" si="2"/>
        <v>2012</v>
      </c>
      <c r="Q21" s="2" t="str">
        <f t="shared" si="3"/>
        <v>UNITED STATES</v>
      </c>
      <c r="R21" s="2" t="str">
        <f t="shared" si="4"/>
        <v>united states</v>
      </c>
      <c r="S21" s="4" t="str">
        <f t="shared" si="5"/>
        <v>United States</v>
      </c>
    </row>
    <row r="22" spans="1:19" ht="28.8" x14ac:dyDescent="0.3">
      <c r="A22" s="2" t="s">
        <v>101</v>
      </c>
      <c r="B22" s="7">
        <v>40913</v>
      </c>
      <c r="C22" s="7">
        <v>40944</v>
      </c>
      <c r="D22" s="2" t="s">
        <v>102</v>
      </c>
      <c r="E22" s="2" t="s">
        <v>74</v>
      </c>
      <c r="F22" s="2" t="s">
        <v>103</v>
      </c>
      <c r="G22" s="2" t="s">
        <v>37</v>
      </c>
      <c r="H22" s="2" t="s">
        <v>50</v>
      </c>
      <c r="I22" s="2">
        <v>2754</v>
      </c>
      <c r="J22" s="2">
        <v>6</v>
      </c>
      <c r="K22" s="2">
        <v>0</v>
      </c>
      <c r="L22" s="2">
        <v>358.02</v>
      </c>
      <c r="M22" s="2" t="s">
        <v>31</v>
      </c>
      <c r="N22" s="2" t="str">
        <f t="shared" si="0"/>
        <v>IN</v>
      </c>
      <c r="O22" s="2" t="str">
        <f t="shared" si="1"/>
        <v>41030</v>
      </c>
      <c r="P22" s="2" t="str">
        <f t="shared" si="2"/>
        <v>2012</v>
      </c>
      <c r="Q22" s="2" t="str">
        <f t="shared" si="3"/>
        <v>CHINA</v>
      </c>
      <c r="R22" s="2" t="str">
        <f t="shared" si="4"/>
        <v>china</v>
      </c>
      <c r="S22" s="4" t="str">
        <f t="shared" si="5"/>
        <v>China</v>
      </c>
    </row>
    <row r="23" spans="1:19" ht="28.8" x14ac:dyDescent="0.3">
      <c r="A23" s="2" t="s">
        <v>104</v>
      </c>
      <c r="B23" s="2" t="s">
        <v>105</v>
      </c>
      <c r="C23" s="7">
        <v>41642</v>
      </c>
      <c r="D23" s="2" t="s">
        <v>106</v>
      </c>
      <c r="E23" s="2" t="s">
        <v>107</v>
      </c>
      <c r="F23" s="2" t="s">
        <v>108</v>
      </c>
      <c r="G23" s="2" t="s">
        <v>51</v>
      </c>
      <c r="H23" s="2" t="s">
        <v>30</v>
      </c>
      <c r="I23" s="2">
        <v>5273.7</v>
      </c>
      <c r="J23" s="2">
        <v>10</v>
      </c>
      <c r="K23" s="2"/>
      <c r="L23" s="2">
        <v>1898.4</v>
      </c>
      <c r="M23" s="2" t="s">
        <v>42</v>
      </c>
      <c r="N23" s="2" t="str">
        <f t="shared" si="0"/>
        <v>ES</v>
      </c>
      <c r="O23" s="2" t="str">
        <f t="shared" si="1"/>
        <v>41697</v>
      </c>
      <c r="P23" s="2" t="str">
        <f t="shared" si="2"/>
        <v>2014</v>
      </c>
      <c r="Q23" s="2" t="str">
        <f t="shared" si="3"/>
        <v>UNITED KINGDOM</v>
      </c>
      <c r="R23" s="2" t="str">
        <f t="shared" si="4"/>
        <v>united kingdom</v>
      </c>
      <c r="S23" s="4" t="str">
        <f t="shared" si="5"/>
        <v>United Kingdom</v>
      </c>
    </row>
    <row r="24" spans="1:19" ht="28.8" x14ac:dyDescent="0.3">
      <c r="A24" s="2" t="s">
        <v>109</v>
      </c>
      <c r="B24" s="2" t="s">
        <v>77</v>
      </c>
      <c r="C24" s="7">
        <v>42012</v>
      </c>
      <c r="D24" s="2" t="s">
        <v>110</v>
      </c>
      <c r="E24" s="2" t="s">
        <v>111</v>
      </c>
      <c r="F24" s="2" t="s">
        <v>112</v>
      </c>
      <c r="G24" s="2" t="s">
        <v>19</v>
      </c>
      <c r="H24" s="2" t="s">
        <v>27</v>
      </c>
      <c r="I24" s="2">
        <v>1713.84</v>
      </c>
      <c r="J24" s="2">
        <v>4</v>
      </c>
      <c r="K24" s="2">
        <v>0</v>
      </c>
      <c r="L24" s="2">
        <v>445.52</v>
      </c>
      <c r="M24" s="2" t="s">
        <v>31</v>
      </c>
      <c r="N24" s="2" t="str">
        <f t="shared" si="0"/>
        <v>US</v>
      </c>
      <c r="O24" s="2" t="str">
        <f t="shared" si="1"/>
        <v>42216</v>
      </c>
      <c r="P24" s="2" t="str">
        <f t="shared" si="2"/>
        <v>2015</v>
      </c>
      <c r="Q24" s="2" t="str">
        <f t="shared" si="3"/>
        <v>MEXICO</v>
      </c>
      <c r="R24" s="2" t="str">
        <f t="shared" si="4"/>
        <v>mexico</v>
      </c>
      <c r="S24" s="4" t="str">
        <f t="shared" si="5"/>
        <v>Mexico</v>
      </c>
    </row>
    <row r="25" spans="1:19" ht="28.8" x14ac:dyDescent="0.3">
      <c r="A25" s="2" t="s">
        <v>113</v>
      </c>
      <c r="B25" s="7">
        <v>42133</v>
      </c>
      <c r="C25" s="7">
        <v>42225</v>
      </c>
      <c r="D25" s="2" t="s">
        <v>114</v>
      </c>
      <c r="E25" s="2" t="s">
        <v>115</v>
      </c>
      <c r="F25" s="2" t="s">
        <v>112</v>
      </c>
      <c r="G25" s="2" t="s">
        <v>37</v>
      </c>
      <c r="H25" s="2" t="s">
        <v>84</v>
      </c>
      <c r="I25" s="2">
        <v>2106.4960000000001</v>
      </c>
      <c r="J25" s="2">
        <v>8</v>
      </c>
      <c r="K25" s="2">
        <v>0.2</v>
      </c>
      <c r="L25" s="2">
        <v>526.49599999999998</v>
      </c>
      <c r="M25" s="2" t="s">
        <v>31</v>
      </c>
      <c r="N25" s="2" t="str">
        <f t="shared" si="0"/>
        <v>MX</v>
      </c>
      <c r="O25" s="2" t="str">
        <f t="shared" si="1"/>
        <v>42252</v>
      </c>
      <c r="P25" s="2" t="str">
        <f t="shared" si="2"/>
        <v>2015</v>
      </c>
      <c r="Q25" s="2" t="str">
        <f t="shared" si="3"/>
        <v>EL SALVADOR</v>
      </c>
      <c r="R25" s="2" t="str">
        <f t="shared" si="4"/>
        <v>el salvador</v>
      </c>
      <c r="S25" s="4" t="str">
        <f t="shared" si="5"/>
        <v>El Salvador</v>
      </c>
    </row>
    <row r="26" spans="1:19" ht="28.8" x14ac:dyDescent="0.3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s">
        <v>103</v>
      </c>
      <c r="G26" s="2" t="s">
        <v>37</v>
      </c>
      <c r="H26" s="2" t="s">
        <v>30</v>
      </c>
      <c r="I26" s="2">
        <v>1715.16</v>
      </c>
      <c r="J26" s="2"/>
      <c r="K26" s="2">
        <v>0</v>
      </c>
      <c r="L26" s="2">
        <v>720.36</v>
      </c>
      <c r="M26" s="2" t="s">
        <v>31</v>
      </c>
      <c r="N26" s="2" t="str">
        <f t="shared" si="0"/>
        <v>IN</v>
      </c>
      <c r="O26" s="2" t="str">
        <f t="shared" si="1"/>
        <v>41259</v>
      </c>
      <c r="P26" s="2" t="str">
        <f t="shared" si="2"/>
        <v>2012</v>
      </c>
      <c r="Q26" s="2" t="str">
        <f t="shared" si="3"/>
        <v>TAIWAN</v>
      </c>
      <c r="R26" s="2" t="str">
        <f t="shared" si="4"/>
        <v>taiwan</v>
      </c>
      <c r="S26" s="4" t="str">
        <f t="shared" si="5"/>
        <v>Taiwan</v>
      </c>
    </row>
    <row r="27" spans="1:19" ht="43.2" x14ac:dyDescent="0.3">
      <c r="A27" s="8" t="s">
        <v>121</v>
      </c>
      <c r="B27" s="2"/>
      <c r="C27" s="2" t="s">
        <v>122</v>
      </c>
      <c r="D27" s="2" t="s">
        <v>123</v>
      </c>
      <c r="E27" s="2" t="s">
        <v>26</v>
      </c>
      <c r="F27" s="2" t="s">
        <v>124</v>
      </c>
      <c r="G27" s="2" t="s">
        <v>125</v>
      </c>
      <c r="H27" s="2" t="s">
        <v>50</v>
      </c>
      <c r="I27" s="2">
        <v>3069.7379999999998</v>
      </c>
      <c r="J27" s="2">
        <v>6</v>
      </c>
      <c r="K27" s="2">
        <v>0.1</v>
      </c>
      <c r="L27" s="2">
        <v>1364.2380000000001</v>
      </c>
      <c r="M27" s="2" t="s">
        <v>31</v>
      </c>
      <c r="N27" s="2" t="str">
        <f t="shared" si="0"/>
        <v>ES</v>
      </c>
      <c r="O27" s="2" t="str">
        <f t="shared" si="1"/>
        <v>40981</v>
      </c>
      <c r="P27" s="2" t="str">
        <f t="shared" si="2"/>
        <v>2012</v>
      </c>
      <c r="Q27" s="2" t="str">
        <f t="shared" si="3"/>
        <v>GERMANY</v>
      </c>
      <c r="R27" s="2" t="str">
        <f t="shared" si="4"/>
        <v>germany</v>
      </c>
      <c r="S27" s="4" t="str">
        <f t="shared" si="5"/>
        <v>Germany</v>
      </c>
    </row>
    <row r="28" spans="1:19" ht="28.8" x14ac:dyDescent="0.3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46</v>
      </c>
      <c r="F28" s="2" t="s">
        <v>130</v>
      </c>
      <c r="G28" s="2" t="s">
        <v>51</v>
      </c>
      <c r="H28" s="2" t="s">
        <v>50</v>
      </c>
      <c r="I28" s="2">
        <v>247.84</v>
      </c>
      <c r="J28" s="2">
        <v>8</v>
      </c>
      <c r="K28" s="2">
        <v>0</v>
      </c>
      <c r="L28" s="2">
        <v>121.44159999999999</v>
      </c>
      <c r="M28" s="2" t="s">
        <v>31</v>
      </c>
      <c r="N28" s="2" t="str">
        <f t="shared" si="0"/>
        <v>CA</v>
      </c>
      <c r="O28" s="2" t="str">
        <f t="shared" si="1"/>
        <v>41020</v>
      </c>
      <c r="P28" s="2" t="str">
        <f t="shared" si="2"/>
        <v>2012</v>
      </c>
      <c r="Q28" s="2" t="str">
        <f t="shared" si="3"/>
        <v>UNITED STATES</v>
      </c>
      <c r="R28" s="2" t="str">
        <f t="shared" si="4"/>
        <v>united states</v>
      </c>
      <c r="S28" s="4" t="str">
        <f t="shared" si="5"/>
        <v>United States</v>
      </c>
    </row>
    <row r="29" spans="1:19" ht="28.8" x14ac:dyDescent="0.3">
      <c r="A29" s="2" t="s">
        <v>131</v>
      </c>
      <c r="B29" s="2" t="s">
        <v>132</v>
      </c>
      <c r="C29" s="2" t="s">
        <v>132</v>
      </c>
      <c r="D29" s="2" t="s">
        <v>133</v>
      </c>
      <c r="E29" s="2" t="s">
        <v>134</v>
      </c>
      <c r="F29" s="2" t="s">
        <v>58</v>
      </c>
      <c r="G29" s="2" t="s">
        <v>37</v>
      </c>
      <c r="H29" s="2" t="s">
        <v>84</v>
      </c>
      <c r="I29" s="2">
        <v>1878.72</v>
      </c>
      <c r="J29" s="2">
        <v>4</v>
      </c>
      <c r="K29" s="2"/>
      <c r="L29" s="2">
        <v>582.36</v>
      </c>
      <c r="M29" s="2" t="s">
        <v>31</v>
      </c>
      <c r="N29" s="2" t="str">
        <f t="shared" si="0"/>
        <v>IN</v>
      </c>
      <c r="O29" s="2" t="str">
        <f t="shared" si="1"/>
        <v>41329</v>
      </c>
      <c r="P29" s="2" t="str">
        <f t="shared" si="2"/>
        <v>2013</v>
      </c>
      <c r="Q29" s="2" t="str">
        <f t="shared" si="3"/>
        <v>INDIA</v>
      </c>
      <c r="R29" s="2" t="str">
        <f t="shared" si="4"/>
        <v>india</v>
      </c>
      <c r="S29" s="4" t="str">
        <f t="shared" si="5"/>
        <v>India</v>
      </c>
    </row>
    <row r="30" spans="1:19" ht="28.8" x14ac:dyDescent="0.3">
      <c r="A30" s="2" t="s">
        <v>135</v>
      </c>
      <c r="B30" s="2" t="s">
        <v>136</v>
      </c>
      <c r="C30" s="9">
        <v>41272</v>
      </c>
      <c r="D30" s="2" t="s">
        <v>137</v>
      </c>
      <c r="E30" s="2" t="s">
        <v>138</v>
      </c>
      <c r="F30" s="2" t="s">
        <v>139</v>
      </c>
      <c r="G30" s="2" t="s">
        <v>19</v>
      </c>
      <c r="H30" s="2" t="s">
        <v>30</v>
      </c>
      <c r="I30" s="2">
        <v>1696.64</v>
      </c>
      <c r="J30" s="2">
        <v>5</v>
      </c>
      <c r="K30" s="2"/>
      <c r="L30" s="2">
        <v>-148.46</v>
      </c>
      <c r="M30" s="2" t="s">
        <v>31</v>
      </c>
      <c r="N30" s="2" t="str">
        <f t="shared" si="0"/>
        <v>US</v>
      </c>
      <c r="O30" s="2" t="str">
        <f t="shared" si="1"/>
        <v>41270</v>
      </c>
      <c r="P30" s="2" t="str">
        <f t="shared" si="2"/>
        <v>2012</v>
      </c>
      <c r="Q30" s="2" t="str">
        <f t="shared" si="3"/>
        <v>DOMINICAN REPUBLIC</v>
      </c>
      <c r="R30" s="2" t="str">
        <f t="shared" si="4"/>
        <v>dominican republic</v>
      </c>
      <c r="S30" s="4" t="str">
        <f t="shared" si="5"/>
        <v>Dominican Republic</v>
      </c>
    </row>
    <row r="31" spans="1:19" ht="28.8" x14ac:dyDescent="0.3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79</v>
      </c>
      <c r="F31" s="2" t="s">
        <v>80</v>
      </c>
      <c r="G31" s="2" t="s">
        <v>19</v>
      </c>
      <c r="H31" s="2" t="s">
        <v>27</v>
      </c>
      <c r="I31" s="2">
        <v>2402.8649999999998</v>
      </c>
      <c r="J31" s="2">
        <v>9</v>
      </c>
      <c r="K31" s="2">
        <v>0.15</v>
      </c>
      <c r="L31" s="2">
        <v>763.15499999999997</v>
      </c>
      <c r="M31" s="2" t="s">
        <v>31</v>
      </c>
      <c r="N31" s="2" t="str">
        <f t="shared" si="0"/>
        <v>ES</v>
      </c>
      <c r="O31" s="2" t="str">
        <f t="shared" si="1"/>
        <v>41472</v>
      </c>
      <c r="P31" s="2" t="str">
        <f t="shared" si="2"/>
        <v>2013</v>
      </c>
      <c r="Q31" s="2" t="str">
        <f t="shared" si="3"/>
        <v>FRANCE</v>
      </c>
      <c r="R31" s="2" t="str">
        <f t="shared" si="4"/>
        <v>france</v>
      </c>
      <c r="S31" s="4" t="str">
        <f t="shared" si="5"/>
        <v>France</v>
      </c>
    </row>
    <row r="32" spans="1:19" ht="28.8" x14ac:dyDescent="0.3">
      <c r="A32" s="2" t="s">
        <v>144</v>
      </c>
      <c r="B32" s="2" t="s">
        <v>145</v>
      </c>
      <c r="C32" s="2" t="s">
        <v>146</v>
      </c>
      <c r="D32" s="2" t="s">
        <v>129</v>
      </c>
      <c r="E32" s="2" t="s">
        <v>46</v>
      </c>
      <c r="F32" s="2" t="s">
        <v>49</v>
      </c>
      <c r="G32" s="2" t="s">
        <v>19</v>
      </c>
      <c r="H32" s="2" t="s">
        <v>30</v>
      </c>
      <c r="I32" s="2">
        <v>668.16</v>
      </c>
      <c r="J32" s="2">
        <v>9</v>
      </c>
      <c r="K32" s="2">
        <v>0.2</v>
      </c>
      <c r="L32" s="2">
        <v>75.168000000000006</v>
      </c>
      <c r="M32" s="2" t="s">
        <v>21</v>
      </c>
      <c r="N32" s="2" t="str">
        <f t="shared" si="0"/>
        <v>CA</v>
      </c>
      <c r="O32" s="2" t="str">
        <f t="shared" si="1"/>
        <v>41635</v>
      </c>
      <c r="P32" s="2" t="str">
        <f t="shared" si="2"/>
        <v>2013</v>
      </c>
      <c r="Q32" s="2" t="str">
        <f t="shared" si="3"/>
        <v>UNITED STATES</v>
      </c>
      <c r="R32" s="2" t="str">
        <f t="shared" si="4"/>
        <v>united states</v>
      </c>
      <c r="S32" s="4" t="str">
        <f t="shared" si="5"/>
        <v>United States</v>
      </c>
    </row>
    <row r="33" spans="1:19" ht="28.8" x14ac:dyDescent="0.3">
      <c r="A33" s="2" t="s">
        <v>147</v>
      </c>
      <c r="B33" s="2" t="s">
        <v>148</v>
      </c>
      <c r="C33" s="7">
        <v>41010</v>
      </c>
      <c r="D33" s="2" t="s">
        <v>149</v>
      </c>
      <c r="E33" s="2" t="s">
        <v>17</v>
      </c>
      <c r="F33" s="2" t="s">
        <v>18</v>
      </c>
      <c r="G33" s="2" t="s">
        <v>51</v>
      </c>
      <c r="H33" s="2" t="s">
        <v>150</v>
      </c>
      <c r="I33" s="2">
        <v>2526.9299999999998</v>
      </c>
      <c r="J33" s="2">
        <v>5</v>
      </c>
      <c r="K33" s="2">
        <v>0.1</v>
      </c>
      <c r="L33" s="2">
        <v>561.48</v>
      </c>
      <c r="M33" s="2" t="s">
        <v>31</v>
      </c>
      <c r="N33" s="2" t="str">
        <f t="shared" si="0"/>
        <v>IN</v>
      </c>
      <c r="O33" s="2" t="str">
        <f t="shared" si="1"/>
        <v>41215</v>
      </c>
      <c r="P33" s="2" t="str">
        <f t="shared" si="2"/>
        <v>2012</v>
      </c>
      <c r="Q33" s="2" t="str">
        <f t="shared" si="3"/>
        <v>AUSTRALIA</v>
      </c>
      <c r="R33" s="2" t="str">
        <f t="shared" si="4"/>
        <v>australia</v>
      </c>
      <c r="S33" s="4" t="str">
        <f t="shared" si="5"/>
        <v>Australia</v>
      </c>
    </row>
    <row r="34" spans="1:19" ht="28.8" x14ac:dyDescent="0.3">
      <c r="A34" s="2" t="s">
        <v>151</v>
      </c>
      <c r="B34" s="2" t="s">
        <v>145</v>
      </c>
      <c r="C34" s="2" t="s">
        <v>146</v>
      </c>
      <c r="D34" s="2" t="s">
        <v>129</v>
      </c>
      <c r="E34" s="2" t="s">
        <v>46</v>
      </c>
      <c r="F34" s="2" t="s">
        <v>49</v>
      </c>
      <c r="G34" s="2" t="s">
        <v>51</v>
      </c>
      <c r="H34" s="2" t="s">
        <v>27</v>
      </c>
      <c r="I34" s="2">
        <v>323.10000000000002</v>
      </c>
      <c r="J34" s="2">
        <v>2</v>
      </c>
      <c r="K34" s="2">
        <v>0</v>
      </c>
      <c r="L34" s="2">
        <v>61.389000000000003</v>
      </c>
      <c r="M34" s="2" t="s">
        <v>21</v>
      </c>
      <c r="N34" s="2" t="str">
        <f t="shared" si="0"/>
        <v>CA</v>
      </c>
      <c r="O34" s="2" t="str">
        <f t="shared" si="1"/>
        <v>41635</v>
      </c>
      <c r="P34" s="2" t="str">
        <f t="shared" si="2"/>
        <v>2013</v>
      </c>
      <c r="Q34" s="2" t="str">
        <f t="shared" si="3"/>
        <v>UNITED STATES</v>
      </c>
      <c r="R34" s="2" t="str">
        <f t="shared" si="4"/>
        <v>united states</v>
      </c>
      <c r="S34" s="4" t="str">
        <f t="shared" si="5"/>
        <v>United States</v>
      </c>
    </row>
    <row r="35" spans="1:19" ht="57.6" x14ac:dyDescent="0.3">
      <c r="A35" s="2" t="s">
        <v>152</v>
      </c>
      <c r="B35" s="2" t="s">
        <v>153</v>
      </c>
      <c r="C35" s="2" t="s">
        <v>154</v>
      </c>
      <c r="D35" s="2" t="s">
        <v>129</v>
      </c>
      <c r="E35" s="2" t="s">
        <v>155</v>
      </c>
      <c r="F35" s="2" t="s">
        <v>156</v>
      </c>
      <c r="G35" s="2" t="s">
        <v>157</v>
      </c>
      <c r="H35" s="2" t="s">
        <v>84</v>
      </c>
      <c r="I35" s="2">
        <v>3817.26</v>
      </c>
      <c r="J35" s="2">
        <v>6</v>
      </c>
      <c r="K35" s="2">
        <v>0</v>
      </c>
      <c r="L35" s="2">
        <v>1068.6600000000001</v>
      </c>
      <c r="M35" s="2" t="s">
        <v>42</v>
      </c>
      <c r="N35" s="2" t="str">
        <f t="shared" si="0"/>
        <v>CG</v>
      </c>
      <c r="O35" s="2" t="str">
        <f t="shared" si="1"/>
        <v>41165</v>
      </c>
      <c r="P35" s="2" t="str">
        <f t="shared" si="2"/>
        <v>2012</v>
      </c>
      <c r="Q35" s="2" t="str">
        <f t="shared" si="3"/>
        <v>DEMOCRATIC REPUBLIC OF THE CONGO</v>
      </c>
      <c r="R35" s="2" t="str">
        <f t="shared" si="4"/>
        <v>democratic republic of the congo</v>
      </c>
      <c r="S35" s="4" t="str">
        <f t="shared" si="5"/>
        <v>Democratic Republic Of The Congo</v>
      </c>
    </row>
    <row r="36" spans="1:19" ht="28.8" x14ac:dyDescent="0.3">
      <c r="A36" s="2" t="s">
        <v>158</v>
      </c>
      <c r="B36" s="7">
        <v>41248</v>
      </c>
      <c r="C36" s="9">
        <v>41047</v>
      </c>
      <c r="D36" s="2" t="s">
        <v>129</v>
      </c>
      <c r="E36" s="2" t="s">
        <v>46</v>
      </c>
      <c r="F36" s="2" t="s">
        <v>49</v>
      </c>
      <c r="G36" s="2" t="s">
        <v>37</v>
      </c>
      <c r="H36" s="2" t="s">
        <v>50</v>
      </c>
      <c r="I36" s="2">
        <v>279.45600000000002</v>
      </c>
      <c r="J36" s="2">
        <v>6</v>
      </c>
      <c r="K36" s="2">
        <v>0.2</v>
      </c>
      <c r="L36" s="2">
        <v>20.959199999999999</v>
      </c>
      <c r="M36" s="2" t="s">
        <v>21</v>
      </c>
      <c r="N36" s="2" t="str">
        <f t="shared" si="0"/>
        <v>CA</v>
      </c>
      <c r="O36" s="2" t="str">
        <f t="shared" si="1"/>
        <v>41041</v>
      </c>
      <c r="P36" s="2" t="str">
        <f t="shared" si="2"/>
        <v>2012</v>
      </c>
      <c r="Q36" s="2" t="str">
        <f t="shared" si="3"/>
        <v>UNITED STATES</v>
      </c>
      <c r="R36" s="2" t="str">
        <f t="shared" si="4"/>
        <v>united states</v>
      </c>
      <c r="S36" s="4" t="str">
        <f t="shared" si="5"/>
        <v>United States</v>
      </c>
    </row>
    <row r="37" spans="1:19" ht="28.8" x14ac:dyDescent="0.3">
      <c r="A37" s="2" t="s">
        <v>159</v>
      </c>
      <c r="B37" s="2" t="s">
        <v>160</v>
      </c>
      <c r="C37" s="2" t="s">
        <v>161</v>
      </c>
      <c r="D37" s="2"/>
      <c r="E37" s="2" t="s">
        <v>46</v>
      </c>
      <c r="F37" s="2" t="s">
        <v>130</v>
      </c>
      <c r="G37" s="2" t="s">
        <v>19</v>
      </c>
      <c r="H37" s="2" t="s">
        <v>30</v>
      </c>
      <c r="I37" s="2">
        <v>34.770000000000003</v>
      </c>
      <c r="J37" s="2">
        <v>3</v>
      </c>
      <c r="K37" s="2">
        <v>0</v>
      </c>
      <c r="L37" s="2">
        <v>11.4741</v>
      </c>
      <c r="M37" s="2" t="s">
        <v>42</v>
      </c>
      <c r="N37" s="2" t="str">
        <f t="shared" si="0"/>
        <v>CA</v>
      </c>
      <c r="O37" s="2" t="str">
        <f t="shared" si="1"/>
        <v>41273</v>
      </c>
      <c r="P37" s="2" t="str">
        <f t="shared" si="2"/>
        <v>2012</v>
      </c>
      <c r="Q37" s="2" t="str">
        <f t="shared" si="3"/>
        <v>UNITED STATES</v>
      </c>
      <c r="R37" s="2" t="str">
        <f t="shared" si="4"/>
        <v>united states</v>
      </c>
      <c r="S37" s="4" t="str">
        <f t="shared" si="5"/>
        <v>United States</v>
      </c>
    </row>
    <row r="38" spans="1:19" ht="28.8" x14ac:dyDescent="0.3">
      <c r="A38" s="2" t="s">
        <v>162</v>
      </c>
      <c r="B38" s="2" t="s">
        <v>163</v>
      </c>
      <c r="C38" s="2" t="s">
        <v>164</v>
      </c>
      <c r="D38" s="2"/>
      <c r="E38" s="2" t="s">
        <v>107</v>
      </c>
      <c r="F38" s="2" t="s">
        <v>108</v>
      </c>
      <c r="G38" s="2" t="s">
        <v>19</v>
      </c>
      <c r="H38" s="2" t="s">
        <v>150</v>
      </c>
      <c r="I38" s="2">
        <v>4141.0200000000004</v>
      </c>
      <c r="J38" s="2">
        <v>13</v>
      </c>
      <c r="K38" s="2">
        <v>0</v>
      </c>
      <c r="L38" s="2">
        <v>1697.67</v>
      </c>
      <c r="M38" s="2" t="s">
        <v>42</v>
      </c>
      <c r="N38" s="2" t="str">
        <f t="shared" si="0"/>
        <v>ES</v>
      </c>
      <c r="O38" s="2" t="str">
        <f t="shared" si="1"/>
        <v>42018</v>
      </c>
      <c r="P38" s="2" t="str">
        <f t="shared" si="2"/>
        <v>2015</v>
      </c>
      <c r="Q38" s="2" t="str">
        <f t="shared" si="3"/>
        <v>UNITED KINGDOM</v>
      </c>
      <c r="R38" s="2" t="str">
        <f t="shared" si="4"/>
        <v>united kingdom</v>
      </c>
      <c r="S38" s="4" t="str">
        <f t="shared" si="5"/>
        <v>United Kingdom</v>
      </c>
    </row>
    <row r="39" spans="1:19" x14ac:dyDescent="0.3">
      <c r="A39" s="2" t="s">
        <v>165</v>
      </c>
      <c r="B39" s="7">
        <v>41183</v>
      </c>
      <c r="C39" s="7">
        <v>40919</v>
      </c>
      <c r="D39" s="2" t="s">
        <v>166</v>
      </c>
      <c r="E39" s="2" t="s">
        <v>17</v>
      </c>
      <c r="F39" s="2" t="s">
        <v>18</v>
      </c>
      <c r="G39" s="2" t="s">
        <v>19</v>
      </c>
      <c r="H39" s="2" t="s">
        <v>150</v>
      </c>
      <c r="I39" s="2">
        <v>2875.0949999999998</v>
      </c>
      <c r="J39" s="2">
        <v>5</v>
      </c>
      <c r="K39" s="2">
        <v>0.1</v>
      </c>
      <c r="L39" s="2">
        <v>511.09500000000003</v>
      </c>
      <c r="M39" s="2" t="s">
        <v>21</v>
      </c>
      <c r="N39" s="2" t="str">
        <f t="shared" si="0"/>
        <v>IN</v>
      </c>
      <c r="O39" s="2" t="str">
        <f t="shared" si="1"/>
        <v>40918</v>
      </c>
      <c r="P39" s="2" t="str">
        <f t="shared" si="2"/>
        <v>2012</v>
      </c>
      <c r="Q39" s="2" t="str">
        <f t="shared" si="3"/>
        <v>AUSTRALIA</v>
      </c>
      <c r="R39" s="2" t="str">
        <f t="shared" si="4"/>
        <v>australia</v>
      </c>
      <c r="S39" s="4" t="str">
        <f t="shared" si="5"/>
        <v>Australia</v>
      </c>
    </row>
    <row r="40" spans="1:19" ht="28.8" x14ac:dyDescent="0.3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s">
        <v>172</v>
      </c>
      <c r="G40" s="2" t="s">
        <v>19</v>
      </c>
      <c r="H40" s="2" t="s">
        <v>38</v>
      </c>
      <c r="I40" s="2">
        <v>3200.5962</v>
      </c>
      <c r="J40" s="2">
        <v>6</v>
      </c>
      <c r="K40" s="2">
        <v>0.17</v>
      </c>
      <c r="L40" s="2">
        <v>-77.203800000000001</v>
      </c>
      <c r="M40" s="2" t="s">
        <v>42</v>
      </c>
      <c r="N40" s="2" t="str">
        <f t="shared" si="0"/>
        <v>ID</v>
      </c>
      <c r="O40" s="2" t="str">
        <f t="shared" si="1"/>
        <v>41873</v>
      </c>
      <c r="P40" s="2" t="str">
        <f t="shared" si="2"/>
        <v>2014</v>
      </c>
      <c r="Q40" s="2" t="str">
        <f t="shared" si="3"/>
        <v>INDONESIA</v>
      </c>
      <c r="R40" s="2" t="str">
        <f t="shared" si="4"/>
        <v>indonesia</v>
      </c>
      <c r="S40" s="4" t="str">
        <f t="shared" si="5"/>
        <v>Indonesia</v>
      </c>
    </row>
    <row r="41" spans="1:19" ht="28.8" x14ac:dyDescent="0.3">
      <c r="A41" s="2" t="s">
        <v>173</v>
      </c>
      <c r="B41" s="7">
        <v>42319</v>
      </c>
      <c r="C41" s="2" t="s">
        <v>174</v>
      </c>
      <c r="D41" s="2" t="s">
        <v>175</v>
      </c>
      <c r="E41" s="2" t="s">
        <v>134</v>
      </c>
      <c r="F41" s="2" t="s">
        <v>58</v>
      </c>
      <c r="G41" s="2" t="s">
        <v>19</v>
      </c>
      <c r="H41" s="2" t="s">
        <v>30</v>
      </c>
      <c r="I41" s="2">
        <v>4518.78</v>
      </c>
      <c r="J41" s="2">
        <v>7</v>
      </c>
      <c r="K41" s="2">
        <v>0</v>
      </c>
      <c r="L41" s="2">
        <v>632.52</v>
      </c>
      <c r="M41" s="2" t="s">
        <v>42</v>
      </c>
      <c r="N41" s="2" t="str">
        <f t="shared" si="0"/>
        <v>IN</v>
      </c>
      <c r="O41" s="2" t="str">
        <f t="shared" si="1"/>
        <v>42319</v>
      </c>
      <c r="P41" s="2" t="str">
        <f t="shared" si="2"/>
        <v>2015</v>
      </c>
      <c r="Q41" s="2" t="str">
        <f t="shared" si="3"/>
        <v>INDIA</v>
      </c>
      <c r="R41" s="2" t="str">
        <f t="shared" si="4"/>
        <v>india</v>
      </c>
      <c r="S41" s="4" t="str">
        <f t="shared" si="5"/>
        <v>India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Darshan</dc:creator>
  <cp:lastModifiedBy>Pavithra Darshan</cp:lastModifiedBy>
  <dcterms:created xsi:type="dcterms:W3CDTF">2026-04-28T14:39:02Z</dcterms:created>
  <dcterms:modified xsi:type="dcterms:W3CDTF">2026-04-28T14:49:36Z</dcterms:modified>
</cp:coreProperties>
</file>