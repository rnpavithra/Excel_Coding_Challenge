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ITHRA\Desktop\"/>
    </mc:Choice>
  </mc:AlternateContent>
  <xr:revisionPtr revIDLastSave="0" documentId="8_{BFE73243-99A8-4B6F-B622-903BD7087540}" xr6:coauthVersionLast="47" xr6:coauthVersionMax="47" xr10:uidLastSave="{00000000-0000-0000-0000-000000000000}"/>
  <bookViews>
    <workbookView xWindow="-108" yWindow="-108" windowWidth="23256" windowHeight="13896" xr2:uid="{D7D1B3DD-C648-4F50-9016-856BB7ED6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K21" i="1" s="1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766836-4C0D-4B18-8F13-E9FC28DB0786}" keepAlive="1" name="Query - day 1" description="Connection to the 'day 1' query in the workbook." type="5" refreshedVersion="8" background="1" saveData="1">
    <dbPr connection="Provider=Microsoft.Mashup.OleDb.1;Data Source=$Workbook$;Location=&quot;day 1&quot;;Extended Properties=&quot;&quot;" command="SELECT * FROM [day 1]"/>
  </connection>
</connections>
</file>

<file path=xl/sharedStrings.xml><?xml version="1.0" encoding="utf-8"?>
<sst xmlns="http://schemas.openxmlformats.org/spreadsheetml/2006/main" count="34" uniqueCount="34">
  <si>
    <t>Name</t>
  </si>
  <si>
    <t>Roll.No</t>
  </si>
  <si>
    <t>English</t>
  </si>
  <si>
    <t>Tamil</t>
  </si>
  <si>
    <t>Maths</t>
  </si>
  <si>
    <t>Science</t>
  </si>
  <si>
    <t>Computer science</t>
  </si>
  <si>
    <t>Hindi</t>
  </si>
  <si>
    <t>Social Science</t>
  </si>
  <si>
    <t>Total</t>
  </si>
  <si>
    <t>Average</t>
  </si>
  <si>
    <t>Minimum Mark</t>
  </si>
  <si>
    <t>Maximum mark</t>
  </si>
  <si>
    <t>Total Subjects</t>
  </si>
  <si>
    <t>Adhiya</t>
  </si>
  <si>
    <t>Aruna</t>
  </si>
  <si>
    <t>Archana</t>
  </si>
  <si>
    <t>Balachandran</t>
  </si>
  <si>
    <t>Bhuvaneshwari</t>
  </si>
  <si>
    <t>Cithra</t>
  </si>
  <si>
    <t>Durga</t>
  </si>
  <si>
    <t>Darius</t>
  </si>
  <si>
    <t>Dolphin</t>
  </si>
  <si>
    <t>Ganesh</t>
  </si>
  <si>
    <t>Gurudharan</t>
  </si>
  <si>
    <t>Hanvitha</t>
  </si>
  <si>
    <t>Harish</t>
  </si>
  <si>
    <t>Kishore</t>
  </si>
  <si>
    <t>Kamila</t>
  </si>
  <si>
    <t>Pavithra</t>
  </si>
  <si>
    <t>Praveen</t>
  </si>
  <si>
    <t>Raja</t>
  </si>
  <si>
    <t>Rupesh</t>
  </si>
  <si>
    <t>Sumithra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</si>
</sst>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1" xfId="0" applyNumberFormat="1" applyBorder="1"/>
    <xf numFmtId="2" fontId="0" fillId="0" borderId="7" xfId="0" applyNumberFormat="1" applyBorder="1"/>
    <xf numFmtId="2" fontId="0" fillId="0" borderId="0" xfId="0" applyNumberFormat="1" applyBorder="1"/>
  </cellXfs>
  <cellStyles count="1">
    <cellStyle name="Normal" xfId="0" builtinId="0"/>
  </cellStyles>
  <dxfs count="18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B02B71-3A9D-4DDC-B1E7-C606B7B3A12E}" name="Table4" displayName="Table4" ref="A1:N21" totalsRowShown="0" headerRowDxfId="5" headerRowBorderDxfId="16" tableBorderDxfId="17" totalsRowBorderDxfId="15">
  <autoFilter ref="A1:N21" xr:uid="{37B02B71-3A9D-4DDC-B1E7-C606B7B3A12E}"/>
  <tableColumns count="14">
    <tableColumn id="1" xr3:uid="{A163827B-59AB-48B0-8CE1-F63589076A2A}" name="Roll.No" dataDxfId="14"/>
    <tableColumn id="2" xr3:uid="{12748207-D797-47C7-993C-76E153533A9C}" name="Name" dataDxfId="13"/>
    <tableColumn id="3" xr3:uid="{84C55751-6A28-4BFD-AB92-6FEC97429CDB}" name="English" dataDxfId="12"/>
    <tableColumn id="4" xr3:uid="{7D5A0A1E-1CF0-4578-9825-FDF2987BDB12}" name="Tamil" dataDxfId="11"/>
    <tableColumn id="5" xr3:uid="{E2BD9336-D20D-40B6-BFE7-A15581275B45}" name="Maths" dataDxfId="10"/>
    <tableColumn id="6" xr3:uid="{9E23C6E2-4CE3-437A-95E8-CD3CF7E2831D}" name="Science" dataDxfId="9"/>
    <tableColumn id="7" xr3:uid="{D69A9D78-DD21-49B0-A23A-1086400B067E}" name="Computer science" dataDxfId="8"/>
    <tableColumn id="8" xr3:uid="{D10B78FA-2AED-490C-AA69-18E4D60C6C04}" name="Hindi" dataDxfId="7"/>
    <tableColumn id="9" xr3:uid="{038E9DC2-23EF-40F1-A367-C86CBCAF294B}" name="Social Science" dataDxfId="6"/>
    <tableColumn id="10" xr3:uid="{BC6E99F0-6D27-405E-A598-9C2319FAB2F5}" name="Total" dataDxfId="4">
      <calculatedColumnFormula>SUM(Table4[[#This Row],[English]:[Social Science]])</calculatedColumnFormula>
    </tableColumn>
    <tableColumn id="11" xr3:uid="{4629A8F6-8D7E-4641-9158-F70723BB4209}" name="Average" dataDxfId="3">
      <calculatedColumnFormula>AVERAGE(Table4[[#This Row],[Total]]/Table4[[#This Row],[Total Subjects]])</calculatedColumnFormula>
    </tableColumn>
    <tableColumn id="12" xr3:uid="{DBC37069-5CDB-4F30-8569-9FC5B5170102}" name="Minimum Mark" dataDxfId="1">
      <calculatedColumnFormula>MIN(Table4[[#This Row],[English]:[Social Science]])</calculatedColumnFormula>
    </tableColumn>
    <tableColumn id="13" xr3:uid="{A1D37DAD-D087-4BAF-8F8F-07CBE9E8F9C4}" name="Maximum mark" dataDxfId="0">
      <calculatedColumnFormula>MAX(Table4[[#This Row],[English]:[Social Science]])</calculatedColumnFormula>
    </tableColumn>
    <tableColumn id="14" xr3:uid="{02F4E396-CF9B-45C9-AF15-8888412FDE72}" name="Total Subjects" dataDxfId="2">
      <calculatedColumnFormula>COUNT(Table4[[#This Row],[English]:[Social Science]])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04B7-906E-4CDF-8408-1E5F9A985F45}">
  <dimension ref="A1:N22"/>
  <sheetViews>
    <sheetView tabSelected="1" workbookViewId="0">
      <selection activeCell="N26" sqref="N26"/>
    </sheetView>
  </sheetViews>
  <sheetFormatPr defaultRowHeight="14.4" x14ac:dyDescent="0.3"/>
  <cols>
    <col min="1" max="1" width="9" customWidth="1"/>
    <col min="2" max="2" width="13.33203125" bestFit="1" customWidth="1"/>
    <col min="6" max="6" width="9.5546875" customWidth="1"/>
    <col min="7" max="7" width="18" customWidth="1"/>
    <col min="9" max="9" width="15.109375" customWidth="1"/>
    <col min="11" max="11" width="9.44140625" customWidth="1"/>
    <col min="12" max="12" width="15.21875" customWidth="1"/>
    <col min="13" max="13" width="15.77734375" customWidth="1"/>
    <col min="14" max="14" width="14.6640625" customWidth="1"/>
  </cols>
  <sheetData>
    <row r="1" spans="1:14" x14ac:dyDescent="0.3">
      <c r="A1" s="4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spans="1:14" x14ac:dyDescent="0.3">
      <c r="A2" s="2">
        <v>1</v>
      </c>
      <c r="B2" s="1" t="s">
        <v>14</v>
      </c>
      <c r="C2" s="1">
        <v>86</v>
      </c>
      <c r="D2" s="1">
        <v>78</v>
      </c>
      <c r="E2" s="1">
        <v>65</v>
      </c>
      <c r="F2" s="1">
        <v>48</v>
      </c>
      <c r="G2" s="1">
        <v>77</v>
      </c>
      <c r="H2" s="1">
        <v>72</v>
      </c>
      <c r="I2" s="1">
        <v>79</v>
      </c>
      <c r="J2" s="1">
        <f>SUM(Table4[[#This Row],[English]:[Social Science]])</f>
        <v>505</v>
      </c>
      <c r="K2" s="9">
        <f>AVERAGE(Table4[[#This Row],[Total]]/Table4[[#This Row],[Total Subjects]])</f>
        <v>72.142857142857139</v>
      </c>
      <c r="L2" s="1">
        <f>MIN(Table4[[#This Row],[English]:[Social Science]])</f>
        <v>48</v>
      </c>
      <c r="M2" s="1">
        <f>MAX(Table4[[#This Row],[English]:[Social Science]])</f>
        <v>86</v>
      </c>
      <c r="N2" s="3">
        <f>COUNT(Table4[[#This Row],[English]:[Social Science]])</f>
        <v>7</v>
      </c>
    </row>
    <row r="3" spans="1:14" x14ac:dyDescent="0.3">
      <c r="A3" s="2">
        <v>2</v>
      </c>
      <c r="B3" s="1" t="s">
        <v>15</v>
      </c>
      <c r="C3" s="1">
        <v>74</v>
      </c>
      <c r="D3" s="1">
        <v>97</v>
      </c>
      <c r="E3" s="1">
        <v>95</v>
      </c>
      <c r="F3" s="1">
        <v>94</v>
      </c>
      <c r="G3" s="1">
        <v>99</v>
      </c>
      <c r="H3" s="1">
        <v>97</v>
      </c>
      <c r="I3" s="1">
        <v>86</v>
      </c>
      <c r="J3" s="1">
        <f>SUM(Table4[[#This Row],[English]:[Social Science]])</f>
        <v>642</v>
      </c>
      <c r="K3" s="9">
        <f>AVERAGE(Table4[[#This Row],[Total]]/Table4[[#This Row],[Total Subjects]])</f>
        <v>91.714285714285708</v>
      </c>
      <c r="L3" s="1">
        <f>MIN(Table4[[#This Row],[English]:[Social Science]])</f>
        <v>74</v>
      </c>
      <c r="M3" s="1">
        <f>MAX(Table4[[#This Row],[English]:[Social Science]])</f>
        <v>99</v>
      </c>
      <c r="N3" s="3">
        <f>COUNT(Table4[[#This Row],[English]:[Social Science]])</f>
        <v>7</v>
      </c>
    </row>
    <row r="4" spans="1:14" x14ac:dyDescent="0.3">
      <c r="A4" s="2">
        <v>3</v>
      </c>
      <c r="B4" s="1" t="s">
        <v>16</v>
      </c>
      <c r="C4" s="1">
        <v>25</v>
      </c>
      <c r="D4" s="1">
        <v>41</v>
      </c>
      <c r="E4" s="1">
        <v>57</v>
      </c>
      <c r="F4" s="1">
        <v>33</v>
      </c>
      <c r="G4" s="1">
        <v>35</v>
      </c>
      <c r="H4" s="1">
        <v>39</v>
      </c>
      <c r="I4" s="1">
        <v>44</v>
      </c>
      <c r="J4" s="1">
        <f>SUM(Table4[[#This Row],[English]:[Social Science]])</f>
        <v>274</v>
      </c>
      <c r="K4" s="9">
        <f>AVERAGE(Table4[[#This Row],[Total]]/Table4[[#This Row],[Total Subjects]])</f>
        <v>39.142857142857146</v>
      </c>
      <c r="L4" s="1">
        <f>MIN(Table4[[#This Row],[English]:[Social Science]])</f>
        <v>25</v>
      </c>
      <c r="M4" s="1">
        <f>MAX(Table4[[#This Row],[English]:[Social Science]])</f>
        <v>57</v>
      </c>
      <c r="N4" s="3">
        <f>COUNT(Table4[[#This Row],[English]:[Social Science]])</f>
        <v>7</v>
      </c>
    </row>
    <row r="5" spans="1:14" x14ac:dyDescent="0.3">
      <c r="A5" s="2">
        <v>4</v>
      </c>
      <c r="B5" s="1" t="s">
        <v>17</v>
      </c>
      <c r="C5" s="1">
        <v>55</v>
      </c>
      <c r="D5" s="1">
        <v>72</v>
      </c>
      <c r="E5" s="1">
        <v>88</v>
      </c>
      <c r="F5" s="1">
        <v>89</v>
      </c>
      <c r="G5" s="1">
        <v>76</v>
      </c>
      <c r="H5" s="1">
        <v>73</v>
      </c>
      <c r="I5" s="1">
        <v>79</v>
      </c>
      <c r="J5" s="1">
        <f>SUM(Table4[[#This Row],[English]:[Social Science]])</f>
        <v>532</v>
      </c>
      <c r="K5" s="9">
        <f>AVERAGE(Table4[[#This Row],[Total]]/Table4[[#This Row],[Total Subjects]])</f>
        <v>76</v>
      </c>
      <c r="L5" s="1">
        <f>MIN(Table4[[#This Row],[English]:[Social Science]])</f>
        <v>55</v>
      </c>
      <c r="M5" s="1">
        <f>MAX(Table4[[#This Row],[English]:[Social Science]])</f>
        <v>89</v>
      </c>
      <c r="N5" s="3">
        <f>COUNT(Table4[[#This Row],[English]:[Social Science]])</f>
        <v>7</v>
      </c>
    </row>
    <row r="6" spans="1:14" x14ac:dyDescent="0.3">
      <c r="A6" s="2">
        <v>5</v>
      </c>
      <c r="B6" s="1" t="s">
        <v>18</v>
      </c>
      <c r="C6" s="1">
        <v>54</v>
      </c>
      <c r="D6" s="1">
        <v>89</v>
      </c>
      <c r="E6" s="1">
        <v>85</v>
      </c>
      <c r="F6" s="1">
        <v>86</v>
      </c>
      <c r="G6" s="1">
        <v>87</v>
      </c>
      <c r="H6" s="1">
        <v>84</v>
      </c>
      <c r="I6" s="1">
        <v>25</v>
      </c>
      <c r="J6" s="1">
        <f>SUM(Table4[[#This Row],[English]:[Social Science]])</f>
        <v>510</v>
      </c>
      <c r="K6" s="9">
        <f>AVERAGE(Table4[[#This Row],[Total]]/Table4[[#This Row],[Total Subjects]])</f>
        <v>72.857142857142861</v>
      </c>
      <c r="L6" s="1">
        <f>MIN(Table4[[#This Row],[English]:[Social Science]])</f>
        <v>25</v>
      </c>
      <c r="M6" s="1">
        <f>MAX(Table4[[#This Row],[English]:[Social Science]])</f>
        <v>89</v>
      </c>
      <c r="N6" s="3">
        <f>COUNT(Table4[[#This Row],[English]:[Social Science]])</f>
        <v>7</v>
      </c>
    </row>
    <row r="7" spans="1:14" x14ac:dyDescent="0.3">
      <c r="A7" s="2">
        <v>6</v>
      </c>
      <c r="B7" s="1" t="s">
        <v>19</v>
      </c>
      <c r="C7" s="1">
        <v>95</v>
      </c>
      <c r="D7" s="1">
        <v>98</v>
      </c>
      <c r="E7" s="1">
        <v>87</v>
      </c>
      <c r="F7" s="1">
        <v>86</v>
      </c>
      <c r="G7" s="1">
        <v>92</v>
      </c>
      <c r="H7" s="1">
        <v>91</v>
      </c>
      <c r="I7" s="1">
        <v>98</v>
      </c>
      <c r="J7" s="1">
        <f>SUM(Table4[[#This Row],[English]:[Social Science]])</f>
        <v>647</v>
      </c>
      <c r="K7" s="9">
        <f>AVERAGE(Table4[[#This Row],[Total]]/Table4[[#This Row],[Total Subjects]])</f>
        <v>92.428571428571431</v>
      </c>
      <c r="L7" s="1">
        <f>MIN(Table4[[#This Row],[English]:[Social Science]])</f>
        <v>86</v>
      </c>
      <c r="M7" s="1">
        <f>MAX(Table4[[#This Row],[English]:[Social Science]])</f>
        <v>98</v>
      </c>
      <c r="N7" s="3">
        <f>COUNT(Table4[[#This Row],[English]:[Social Science]])</f>
        <v>7</v>
      </c>
    </row>
    <row r="8" spans="1:14" x14ac:dyDescent="0.3">
      <c r="A8" s="2">
        <v>7</v>
      </c>
      <c r="B8" s="1" t="s">
        <v>20</v>
      </c>
      <c r="C8" s="1">
        <v>97</v>
      </c>
      <c r="D8" s="1">
        <v>25</v>
      </c>
      <c r="E8" s="1">
        <v>76</v>
      </c>
      <c r="F8" s="1">
        <v>95</v>
      </c>
      <c r="G8" s="1">
        <v>73</v>
      </c>
      <c r="H8" s="1">
        <v>95</v>
      </c>
      <c r="I8" s="1">
        <v>99</v>
      </c>
      <c r="J8" s="1">
        <f>SUM(Table4[[#This Row],[English]:[Social Science]])</f>
        <v>560</v>
      </c>
      <c r="K8" s="9">
        <f>AVERAGE(Table4[[#This Row],[Total]]/Table4[[#This Row],[Total Subjects]])</f>
        <v>80</v>
      </c>
      <c r="L8" s="1">
        <f>MIN(Table4[[#This Row],[English]:[Social Science]])</f>
        <v>25</v>
      </c>
      <c r="M8" s="1">
        <f>MAX(Table4[[#This Row],[English]:[Social Science]])</f>
        <v>99</v>
      </c>
      <c r="N8" s="3">
        <f>COUNT(Table4[[#This Row],[English]:[Social Science]])</f>
        <v>7</v>
      </c>
    </row>
    <row r="9" spans="1:14" x14ac:dyDescent="0.3">
      <c r="A9" s="2">
        <v>8</v>
      </c>
      <c r="B9" s="1" t="s">
        <v>21</v>
      </c>
      <c r="C9" s="1">
        <v>95</v>
      </c>
      <c r="D9" s="1">
        <v>98</v>
      </c>
      <c r="E9" s="1">
        <v>87</v>
      </c>
      <c r="F9" s="1">
        <v>57</v>
      </c>
      <c r="G9" s="1">
        <v>85</v>
      </c>
      <c r="H9" s="1">
        <v>57</v>
      </c>
      <c r="I9" s="1">
        <v>96</v>
      </c>
      <c r="J9" s="1">
        <f>SUM(Table4[[#This Row],[English]:[Social Science]])</f>
        <v>575</v>
      </c>
      <c r="K9" s="9">
        <f>AVERAGE(Table4[[#This Row],[Total]]/Table4[[#This Row],[Total Subjects]])</f>
        <v>82.142857142857139</v>
      </c>
      <c r="L9" s="1">
        <f>MIN(Table4[[#This Row],[English]:[Social Science]])</f>
        <v>57</v>
      </c>
      <c r="M9" s="1">
        <f>MAX(Table4[[#This Row],[English]:[Social Science]])</f>
        <v>98</v>
      </c>
      <c r="N9" s="3">
        <f>COUNT(Table4[[#This Row],[English]:[Social Science]])</f>
        <v>7</v>
      </c>
    </row>
    <row r="10" spans="1:14" x14ac:dyDescent="0.3">
      <c r="A10" s="2">
        <v>9</v>
      </c>
      <c r="B10" s="1" t="s">
        <v>22</v>
      </c>
      <c r="C10" s="1">
        <v>96</v>
      </c>
      <c r="D10" s="1">
        <v>99</v>
      </c>
      <c r="E10" s="1">
        <v>92</v>
      </c>
      <c r="F10" s="1">
        <v>88</v>
      </c>
      <c r="G10" s="1">
        <v>82</v>
      </c>
      <c r="H10" s="1">
        <v>88</v>
      </c>
      <c r="I10" s="1">
        <v>91</v>
      </c>
      <c r="J10" s="1">
        <f>SUM(Table4[[#This Row],[English]:[Social Science]])</f>
        <v>636</v>
      </c>
      <c r="K10" s="9">
        <f>AVERAGE(Table4[[#This Row],[Total]]/Table4[[#This Row],[Total Subjects]])</f>
        <v>90.857142857142861</v>
      </c>
      <c r="L10" s="1">
        <f>MIN(Table4[[#This Row],[English]:[Social Science]])</f>
        <v>82</v>
      </c>
      <c r="M10" s="1">
        <f>MAX(Table4[[#This Row],[English]:[Social Science]])</f>
        <v>99</v>
      </c>
      <c r="N10" s="3">
        <f>COUNT(Table4[[#This Row],[English]:[Social Science]])</f>
        <v>7</v>
      </c>
    </row>
    <row r="11" spans="1:14" x14ac:dyDescent="0.3">
      <c r="A11" s="2">
        <v>10</v>
      </c>
      <c r="B11" s="1" t="s">
        <v>23</v>
      </c>
      <c r="C11" s="1">
        <v>54</v>
      </c>
      <c r="D11" s="1">
        <v>96</v>
      </c>
      <c r="E11" s="1">
        <v>73</v>
      </c>
      <c r="F11" s="1">
        <v>85</v>
      </c>
      <c r="G11" s="1">
        <v>81</v>
      </c>
      <c r="H11" s="1">
        <v>85</v>
      </c>
      <c r="I11" s="1">
        <v>87</v>
      </c>
      <c r="J11" s="1">
        <f>SUM(Table4[[#This Row],[English]:[Social Science]])</f>
        <v>561</v>
      </c>
      <c r="K11" s="9">
        <f>AVERAGE(Table4[[#This Row],[Total]]/Table4[[#This Row],[Total Subjects]])</f>
        <v>80.142857142857139</v>
      </c>
      <c r="L11" s="1">
        <f>MIN(Table4[[#This Row],[English]:[Social Science]])</f>
        <v>54</v>
      </c>
      <c r="M11" s="1">
        <f>MAX(Table4[[#This Row],[English]:[Social Science]])</f>
        <v>96</v>
      </c>
      <c r="N11" s="3">
        <f>COUNT(Table4[[#This Row],[English]:[Social Science]])</f>
        <v>7</v>
      </c>
    </row>
    <row r="12" spans="1:14" x14ac:dyDescent="0.3">
      <c r="A12" s="2">
        <v>11</v>
      </c>
      <c r="B12" s="1" t="s">
        <v>24</v>
      </c>
      <c r="C12" s="1">
        <v>43</v>
      </c>
      <c r="D12" s="1">
        <v>91</v>
      </c>
      <c r="E12" s="1">
        <v>48</v>
      </c>
      <c r="F12" s="1">
        <v>87</v>
      </c>
      <c r="G12" s="1">
        <v>80</v>
      </c>
      <c r="H12" s="1">
        <v>87</v>
      </c>
      <c r="I12" s="1">
        <v>75</v>
      </c>
      <c r="J12" s="1">
        <f>SUM(Table4[[#This Row],[English]:[Social Science]])</f>
        <v>511</v>
      </c>
      <c r="K12" s="9">
        <f>AVERAGE(Table4[[#This Row],[Total]]/Table4[[#This Row],[Total Subjects]])</f>
        <v>73</v>
      </c>
      <c r="L12" s="1">
        <f>MIN(Table4[[#This Row],[English]:[Social Science]])</f>
        <v>43</v>
      </c>
      <c r="M12" s="1">
        <f>MAX(Table4[[#This Row],[English]:[Social Science]])</f>
        <v>91</v>
      </c>
      <c r="N12" s="3">
        <f>COUNT(Table4[[#This Row],[English]:[Social Science]])</f>
        <v>7</v>
      </c>
    </row>
    <row r="13" spans="1:14" x14ac:dyDescent="0.3">
      <c r="A13" s="2">
        <v>12</v>
      </c>
      <c r="B13" s="1" t="s">
        <v>25</v>
      </c>
      <c r="C13" s="1">
        <v>88</v>
      </c>
      <c r="D13" s="1">
        <v>87</v>
      </c>
      <c r="E13" s="1">
        <v>94</v>
      </c>
      <c r="F13" s="1">
        <v>73</v>
      </c>
      <c r="G13" s="1">
        <v>85</v>
      </c>
      <c r="H13" s="1">
        <v>73</v>
      </c>
      <c r="I13" s="1">
        <v>73</v>
      </c>
      <c r="J13" s="1">
        <f>SUM(Table4[[#This Row],[English]:[Social Science]])</f>
        <v>573</v>
      </c>
      <c r="K13" s="9">
        <f>AVERAGE(Table4[[#This Row],[Total]]/Table4[[#This Row],[Total Subjects]])</f>
        <v>81.857142857142861</v>
      </c>
      <c r="L13" s="1">
        <f>MIN(Table4[[#This Row],[English]:[Social Science]])</f>
        <v>73</v>
      </c>
      <c r="M13" s="1">
        <f>MAX(Table4[[#This Row],[English]:[Social Science]])</f>
        <v>94</v>
      </c>
      <c r="N13" s="3">
        <f>COUNT(Table4[[#This Row],[English]:[Social Science]])</f>
        <v>7</v>
      </c>
    </row>
    <row r="14" spans="1:14" x14ac:dyDescent="0.3">
      <c r="A14" s="2">
        <v>13</v>
      </c>
      <c r="B14" s="1" t="s">
        <v>26</v>
      </c>
      <c r="C14" s="1">
        <v>77</v>
      </c>
      <c r="D14" s="1">
        <v>75</v>
      </c>
      <c r="E14" s="1">
        <v>33</v>
      </c>
      <c r="F14" s="1">
        <v>85</v>
      </c>
      <c r="G14" s="1">
        <v>54</v>
      </c>
      <c r="H14" s="1">
        <v>85</v>
      </c>
      <c r="I14" s="1">
        <v>85</v>
      </c>
      <c r="J14" s="1">
        <f>SUM(Table4[[#This Row],[English]:[Social Science]])</f>
        <v>494</v>
      </c>
      <c r="K14" s="9">
        <f>AVERAGE(Table4[[#This Row],[Total]]/Table4[[#This Row],[Total Subjects]])</f>
        <v>70.571428571428569</v>
      </c>
      <c r="L14" s="1">
        <f>MIN(Table4[[#This Row],[English]:[Social Science]])</f>
        <v>33</v>
      </c>
      <c r="M14" s="1">
        <f>MAX(Table4[[#This Row],[English]:[Social Science]])</f>
        <v>85</v>
      </c>
      <c r="N14" s="3">
        <f>COUNT(Table4[[#This Row],[English]:[Social Science]])</f>
        <v>7</v>
      </c>
    </row>
    <row r="15" spans="1:14" x14ac:dyDescent="0.3">
      <c r="A15" s="2">
        <v>14</v>
      </c>
      <c r="B15" s="1" t="s">
        <v>27</v>
      </c>
      <c r="C15" s="1">
        <v>75</v>
      </c>
      <c r="D15" s="1">
        <v>73</v>
      </c>
      <c r="E15" s="1">
        <v>89</v>
      </c>
      <c r="F15" s="1">
        <v>82</v>
      </c>
      <c r="G15" s="1">
        <v>99</v>
      </c>
      <c r="H15" s="1">
        <v>82</v>
      </c>
      <c r="I15" s="1">
        <v>82</v>
      </c>
      <c r="J15" s="1">
        <f>SUM(Table4[[#This Row],[English]:[Social Science]])</f>
        <v>582</v>
      </c>
      <c r="K15" s="9">
        <f>AVERAGE(Table4[[#This Row],[Total]]/Table4[[#This Row],[Total Subjects]])</f>
        <v>83.142857142857139</v>
      </c>
      <c r="L15" s="1">
        <f>MIN(Table4[[#This Row],[English]:[Social Science]])</f>
        <v>73</v>
      </c>
      <c r="M15" s="1">
        <f>MAX(Table4[[#This Row],[English]:[Social Science]])</f>
        <v>99</v>
      </c>
      <c r="N15" s="3">
        <f>COUNT(Table4[[#This Row],[English]:[Social Science]])</f>
        <v>7</v>
      </c>
    </row>
    <row r="16" spans="1:14" x14ac:dyDescent="0.3">
      <c r="A16" s="2">
        <v>15</v>
      </c>
      <c r="B16" s="1" t="s">
        <v>28</v>
      </c>
      <c r="C16" s="1">
        <v>76</v>
      </c>
      <c r="D16" s="1">
        <v>76</v>
      </c>
      <c r="E16" s="1">
        <v>86</v>
      </c>
      <c r="F16" s="1">
        <v>81</v>
      </c>
      <c r="G16" s="1">
        <v>88</v>
      </c>
      <c r="H16" s="1">
        <v>81</v>
      </c>
      <c r="I16" s="1">
        <v>81</v>
      </c>
      <c r="J16" s="1">
        <f>SUM(Table4[[#This Row],[English]:[Social Science]])</f>
        <v>569</v>
      </c>
      <c r="K16" s="9">
        <f>AVERAGE(Table4[[#This Row],[Total]]/Table4[[#This Row],[Total Subjects]])</f>
        <v>81.285714285714292</v>
      </c>
      <c r="L16" s="1">
        <f>MIN(Table4[[#This Row],[English]:[Social Science]])</f>
        <v>76</v>
      </c>
      <c r="M16" s="1">
        <f>MAX(Table4[[#This Row],[English]:[Social Science]])</f>
        <v>88</v>
      </c>
      <c r="N16" s="3">
        <f>COUNT(Table4[[#This Row],[English]:[Social Science]])</f>
        <v>7</v>
      </c>
    </row>
    <row r="17" spans="1:14" x14ac:dyDescent="0.3">
      <c r="A17" s="2">
        <v>16</v>
      </c>
      <c r="B17" s="1" t="s">
        <v>29</v>
      </c>
      <c r="C17" s="1">
        <v>84</v>
      </c>
      <c r="D17" s="1">
        <v>87</v>
      </c>
      <c r="E17" s="1">
        <v>86</v>
      </c>
      <c r="F17" s="1">
        <v>80</v>
      </c>
      <c r="G17" s="1">
        <v>85</v>
      </c>
      <c r="H17" s="1">
        <v>80</v>
      </c>
      <c r="I17" s="1">
        <v>80</v>
      </c>
      <c r="J17" s="1">
        <f>SUM(Table4[[#This Row],[English]:[Social Science]])</f>
        <v>582</v>
      </c>
      <c r="K17" s="9">
        <f>AVERAGE(Table4[[#This Row],[Total]]/Table4[[#This Row],[Total Subjects]])</f>
        <v>83.142857142857139</v>
      </c>
      <c r="L17" s="1">
        <f>MIN(Table4[[#This Row],[English]:[Social Science]])</f>
        <v>80</v>
      </c>
      <c r="M17" s="1">
        <f>MAX(Table4[[#This Row],[English]:[Social Science]])</f>
        <v>87</v>
      </c>
      <c r="N17" s="3">
        <f>COUNT(Table4[[#This Row],[English]:[Social Science]])</f>
        <v>7</v>
      </c>
    </row>
    <row r="18" spans="1:14" x14ac:dyDescent="0.3">
      <c r="A18" s="2">
        <v>17</v>
      </c>
      <c r="B18" s="1" t="s">
        <v>30</v>
      </c>
      <c r="C18" s="1">
        <v>83</v>
      </c>
      <c r="D18" s="1">
        <v>92</v>
      </c>
      <c r="E18" s="1">
        <v>79</v>
      </c>
      <c r="F18" s="1">
        <v>85</v>
      </c>
      <c r="G18" s="1">
        <v>87</v>
      </c>
      <c r="H18" s="1">
        <v>85</v>
      </c>
      <c r="I18" s="1">
        <v>85</v>
      </c>
      <c r="J18" s="1">
        <f>SUM(Table4[[#This Row],[English]:[Social Science]])</f>
        <v>596</v>
      </c>
      <c r="K18" s="9">
        <f>AVERAGE(Table4[[#This Row],[Total]]/Table4[[#This Row],[Total Subjects]])</f>
        <v>85.142857142857139</v>
      </c>
      <c r="L18" s="1">
        <f>MIN(Table4[[#This Row],[English]:[Social Science]])</f>
        <v>79</v>
      </c>
      <c r="M18" s="1">
        <f>MAX(Table4[[#This Row],[English]:[Social Science]])</f>
        <v>92</v>
      </c>
      <c r="N18" s="3">
        <f>COUNT(Table4[[#This Row],[English]:[Social Science]])</f>
        <v>7</v>
      </c>
    </row>
    <row r="19" spans="1:14" x14ac:dyDescent="0.3">
      <c r="A19" s="2">
        <v>18</v>
      </c>
      <c r="B19" s="1" t="s">
        <v>31</v>
      </c>
      <c r="C19" s="1">
        <v>82</v>
      </c>
      <c r="D19" s="1">
        <v>73</v>
      </c>
      <c r="E19" s="1">
        <v>64</v>
      </c>
      <c r="F19" s="1">
        <v>79</v>
      </c>
      <c r="G19" s="1">
        <v>98</v>
      </c>
      <c r="H19" s="1">
        <v>88</v>
      </c>
      <c r="I19" s="1">
        <v>54</v>
      </c>
      <c r="J19" s="1">
        <f>SUM(Table4[[#This Row],[English]:[Social Science]])</f>
        <v>538</v>
      </c>
      <c r="K19" s="9">
        <f>AVERAGE(Table4[[#This Row],[Total]]/Table4[[#This Row],[Total Subjects]])</f>
        <v>76.857142857142861</v>
      </c>
      <c r="L19" s="1">
        <f>MIN(Table4[[#This Row],[English]:[Social Science]])</f>
        <v>54</v>
      </c>
      <c r="M19" s="1">
        <f>MAX(Table4[[#This Row],[English]:[Social Science]])</f>
        <v>98</v>
      </c>
      <c r="N19" s="3">
        <f>COUNT(Table4[[#This Row],[English]:[Social Science]])</f>
        <v>7</v>
      </c>
    </row>
    <row r="20" spans="1:14" x14ac:dyDescent="0.3">
      <c r="A20" s="2">
        <v>19</v>
      </c>
      <c r="B20" s="1" t="s">
        <v>32</v>
      </c>
      <c r="C20" s="1">
        <v>99</v>
      </c>
      <c r="D20" s="1">
        <v>94</v>
      </c>
      <c r="E20" s="1">
        <v>95</v>
      </c>
      <c r="F20" s="1">
        <v>99</v>
      </c>
      <c r="G20" s="1">
        <v>84</v>
      </c>
      <c r="H20" s="1">
        <v>99</v>
      </c>
      <c r="I20" s="1">
        <v>99</v>
      </c>
      <c r="J20" s="1">
        <f>SUM(Table4[[#This Row],[English]:[Social Science]])</f>
        <v>669</v>
      </c>
      <c r="K20" s="9">
        <f>AVERAGE(Table4[[#This Row],[Total]]/Table4[[#This Row],[Total Subjects]])</f>
        <v>95.571428571428569</v>
      </c>
      <c r="L20" s="1">
        <f>MIN(Table4[[#This Row],[English]:[Social Science]])</f>
        <v>84</v>
      </c>
      <c r="M20" s="1">
        <f>MAX(Table4[[#This Row],[English]:[Social Science]])</f>
        <v>99</v>
      </c>
      <c r="N20" s="3">
        <f>COUNT(Table4[[#This Row],[English]:[Social Science]])</f>
        <v>7</v>
      </c>
    </row>
    <row r="21" spans="1:14" x14ac:dyDescent="0.3">
      <c r="A21" s="2">
        <v>20</v>
      </c>
      <c r="B21" s="7" t="s">
        <v>33</v>
      </c>
      <c r="C21" s="7">
        <v>94</v>
      </c>
      <c r="D21" s="7">
        <v>78</v>
      </c>
      <c r="E21" s="7">
        <v>87</v>
      </c>
      <c r="F21" s="7">
        <v>87</v>
      </c>
      <c r="G21" s="7">
        <v>96</v>
      </c>
      <c r="H21" s="7">
        <v>94</v>
      </c>
      <c r="I21" s="7">
        <v>91</v>
      </c>
      <c r="J21" s="7">
        <f>SUM(Table4[[#This Row],[English]:[Social Science]])</f>
        <v>627</v>
      </c>
      <c r="K21" s="10">
        <f>AVERAGE(Table4[[#This Row],[Total]]/Table4[[#This Row],[Total Subjects]])</f>
        <v>89.571428571428569</v>
      </c>
      <c r="L21" s="7">
        <f>MIN(Table4[[#This Row],[English]:[Social Science]])</f>
        <v>78</v>
      </c>
      <c r="M21" s="7">
        <f>MAX(Table4[[#This Row],[English]:[Social Science]])</f>
        <v>96</v>
      </c>
      <c r="N21" s="8">
        <f>COUNT(Table4[[#This Row],[English]:[Social Science]])</f>
        <v>7</v>
      </c>
    </row>
    <row r="22" spans="1:14" x14ac:dyDescent="0.3">
      <c r="K22" s="1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C3E554-C1CD-4DDF-9438-D2316B790E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Darshan</dc:creator>
  <cp:lastModifiedBy>Pavithra Darshan</cp:lastModifiedBy>
  <dcterms:created xsi:type="dcterms:W3CDTF">2026-04-23T16:43:43Z</dcterms:created>
  <dcterms:modified xsi:type="dcterms:W3CDTF">2026-04-25T10:13:21Z</dcterms:modified>
</cp:coreProperties>
</file>